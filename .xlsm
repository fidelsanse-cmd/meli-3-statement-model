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685" yWindow="2685" windowWidth="21600" windowHeight="11835" tabRatio="500" firstSheet="0" activeTab="0" autoFilterDateGrouping="1"/>
  </bookViews>
  <sheets>
    <sheet xmlns:r="http://schemas.openxmlformats.org/officeDocument/2006/relationships" name="Supuestos" sheetId="1" state="visible" r:id="rId1"/>
    <sheet xmlns:r="http://schemas.openxmlformats.org/officeDocument/2006/relationships" name="Resultados" sheetId="2" state="visible" r:id="rId2"/>
    <sheet xmlns:r="http://schemas.openxmlformats.org/officeDocument/2006/relationships" name="Balance" sheetId="3" state="visible" r:id="rId3"/>
    <sheet xmlns:r="http://schemas.openxmlformats.org/officeDocument/2006/relationships" name="FlujoCaja" sheetId="4" state="visible" r:id="rId4"/>
    <sheet xmlns:r="http://schemas.openxmlformats.org/officeDocument/2006/relationships" name="Dashboard" sheetId="5" state="visible" r:id="rId5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5">
    <numFmt numFmtId="164" formatCode="\$#,##0;&quot;($&quot;#,##0\);\-"/>
    <numFmt numFmtId="165" formatCode="0.0%;\(0.0%\);\-"/>
    <numFmt numFmtId="166" formatCode="0.0&quot; d&quot;;\(0.0&quot; d)&quot;"/>
    <numFmt numFmtId="167" formatCode="$#,##0"/>
    <numFmt numFmtId="168" formatCode="0.0%"/>
  </numFmts>
  <fonts count="18">
    <font>
      <name val="Calibri"/>
      <charset val="1"/>
      <family val="2"/>
      <color theme="1"/>
      <sz val="11"/>
    </font>
    <font>
      <name val="Consolas"/>
      <charset val="1"/>
      <b val="1"/>
      <color rgb="FF46C8F5"/>
      <sz val="16"/>
    </font>
    <font>
      <name val="Consolas"/>
      <charset val="1"/>
      <i val="1"/>
      <color rgb="FF8A93A3"/>
      <sz val="9"/>
    </font>
    <font>
      <name val="Consolas"/>
      <charset val="1"/>
      <b val="1"/>
      <color rgb="FF46C8F5"/>
      <sz val="11"/>
    </font>
    <font>
      <name val="Consolas"/>
      <charset val="1"/>
      <b val="1"/>
      <color rgb="FF8A93A3"/>
      <sz val="9"/>
    </font>
    <font>
      <name val="Consolas"/>
      <charset val="1"/>
      <color rgb="FF8A93A3"/>
      <sz val="10"/>
    </font>
    <font>
      <name val="Consolas"/>
      <charset val="1"/>
      <color rgb="FFE8EBF0"/>
      <sz val="10"/>
    </font>
    <font>
      <name val="Consolas"/>
      <charset val="1"/>
      <b val="1"/>
      <color rgb="FFE8EBF0"/>
      <sz val="10"/>
    </font>
    <font>
      <name val="Consolas"/>
      <charset val="1"/>
      <b val="1"/>
      <color rgb="FF46C8F5"/>
      <sz val="10"/>
    </font>
    <font>
      <name val="Consolas"/>
      <charset val="1"/>
      <b val="1"/>
      <color rgb="FF4CD37A"/>
      <sz val="10"/>
    </font>
    <font>
      <name val="Consolas"/>
      <charset val="1"/>
      <color rgb="FFF5B43C"/>
      <sz val="10"/>
    </font>
    <font>
      <name val="Consolas"/>
      <b val="1"/>
      <color rgb="0046C8F5"/>
      <sz val="18"/>
    </font>
    <font>
      <name val="Consolas"/>
      <i val="1"/>
      <color rgb="008A93A3"/>
      <sz val="9"/>
    </font>
    <font>
      <name val="Consolas"/>
      <b val="1"/>
      <color rgb="0046C8F5"/>
      <sz val="11"/>
    </font>
    <font>
      <name val="Consolas"/>
      <color rgb="008A93A3"/>
      <sz val="9"/>
    </font>
    <font>
      <name val="Consolas"/>
      <b val="1"/>
      <color rgb="00E8EBF0"/>
      <sz val="20"/>
    </font>
    <font>
      <name val="Consolas"/>
      <b val="1"/>
      <color rgb="00F5B43C"/>
      <sz val="20"/>
    </font>
    <font>
      <name val="Consolas"/>
      <b val="1"/>
      <color rgb="004CD37A"/>
      <sz val="20"/>
    </font>
  </fonts>
  <fills count="5">
    <fill>
      <patternFill/>
    </fill>
    <fill>
      <patternFill patternType="gray125"/>
    </fill>
    <fill>
      <patternFill patternType="solid">
        <fgColor rgb="FF0A0C12"/>
        <bgColor rgb="FF12141E"/>
      </patternFill>
    </fill>
    <fill>
      <patternFill patternType="solid">
        <fgColor rgb="FF12141E"/>
        <bgColor rgb="FF0A0C12"/>
      </patternFill>
    </fill>
    <fill>
      <patternFill patternType="solid">
        <fgColor rgb="000A0C12"/>
      </patternFill>
    </fill>
  </fills>
  <borders count="2">
    <border>
      <left/>
      <right/>
      <top/>
      <bottom/>
      <diagonal/>
    </border>
    <border>
      <left/>
      <right/>
      <top/>
      <bottom style="thin">
        <color rgb="FF23283A"/>
      </bottom>
      <diagonal/>
    </border>
  </borders>
  <cellStyleXfs count="1">
    <xf numFmtId="0" fontId="0" fillId="0" borderId="0"/>
  </cellStyleXfs>
  <cellXfs count="24">
    <xf numFmtId="0" fontId="0" fillId="0" borderId="0" pivotButton="0" quotePrefix="0" xfId="0"/>
    <xf numFmtId="0" fontId="1" fillId="2" borderId="0" pivotButton="0" quotePrefix="0" xfId="0"/>
    <xf numFmtId="0" fontId="0" fillId="2" borderId="0" pivotButton="0" quotePrefix="0" xfId="0"/>
    <xf numFmtId="0" fontId="2" fillId="2" borderId="0" pivotButton="0" quotePrefix="0" xfId="0"/>
    <xf numFmtId="0" fontId="3" fillId="3" borderId="0" pivotButton="0" quotePrefix="0" xfId="0"/>
    <xf numFmtId="0" fontId="0" fillId="3" borderId="0" pivotButton="0" quotePrefix="0" xfId="0"/>
    <xf numFmtId="0" fontId="4" fillId="2" borderId="1" applyAlignment="1" pivotButton="0" quotePrefix="0" xfId="0">
      <alignment horizontal="left"/>
    </xf>
    <xf numFmtId="0" fontId="4" fillId="2" borderId="1" applyAlignment="1" pivotButton="0" quotePrefix="0" xfId="0">
      <alignment horizontal="right"/>
    </xf>
    <xf numFmtId="0" fontId="5" fillId="2" borderId="0" pivotButton="0" quotePrefix="0" xfId="0"/>
    <xf numFmtId="164" fontId="6" fillId="2" borderId="0" pivotButton="0" quotePrefix="0" xfId="0"/>
    <xf numFmtId="0" fontId="7" fillId="2" borderId="0" pivotButton="0" quotePrefix="0" xfId="0"/>
    <xf numFmtId="164" fontId="8" fillId="2" borderId="0" pivotButton="0" quotePrefix="0" xfId="0"/>
    <xf numFmtId="164" fontId="9" fillId="2" borderId="0" pivotButton="0" quotePrefix="0" xfId="0"/>
    <xf numFmtId="165" fontId="10" fillId="2" borderId="0" pivotButton="0" quotePrefix="0" xfId="0"/>
    <xf numFmtId="166" fontId="10" fillId="2" borderId="0" pivotButton="0" quotePrefix="0" xfId="0"/>
    <xf numFmtId="165" fontId="6" fillId="2" borderId="0" pivotButton="0" quotePrefix="0" xfId="0"/>
    <xf numFmtId="0" fontId="0" fillId="4" borderId="0" pivotButton="0" quotePrefix="0" xfId="0"/>
    <xf numFmtId="0" fontId="11" fillId="4" borderId="0" pivotButton="0" quotePrefix="0" xfId="0"/>
    <xf numFmtId="0" fontId="12" fillId="4" borderId="0" pivotButton="0" quotePrefix="0" xfId="0"/>
    <xf numFmtId="0" fontId="13" fillId="4" borderId="0" pivotButton="0" quotePrefix="0" xfId="0"/>
    <xf numFmtId="0" fontId="14" fillId="4" borderId="0" pivotButton="0" quotePrefix="0" xfId="0"/>
    <xf numFmtId="167" fontId="15" fillId="4" borderId="0" pivotButton="0" quotePrefix="0" xfId="0"/>
    <xf numFmtId="168" fontId="16" fillId="4" borderId="0" pivotButton="0" quotePrefix="0" xfId="0"/>
    <xf numFmtId="168" fontId="17" fillId="4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FF000000"/>
      <rgbColor rgb="FFE8EB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46C8F5"/>
      <rgbColor rgb="FF99CC00"/>
      <rgbColor rgb="FFF5B43C"/>
      <rgbColor rgb="FFFF9900"/>
      <rgbColor rgb="FFFF6600"/>
      <rgbColor rgb="FF666699"/>
      <rgbColor rgb="FF8A93A3"/>
      <rgbColor rgb="FF003366"/>
      <rgbColor rgb="FF4CD37A"/>
      <rgbColor rgb="FF12141E"/>
      <rgbColor rgb="FF0A0C12"/>
      <rgbColor rgb="FF993300"/>
      <rgbColor rgb="FF993366"/>
      <rgbColor rgb="FF333399"/>
      <rgbColor rgb="FF23283A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46C8F5"/>
                </a:solidFill>
              </a:defRPr>
            </a:pPr>
            <a:r>
              <a:rPr sz="1100" b="1">
                <a:solidFill>
                  <a:srgbClr val="46C8F5"/>
                </a:solidFill>
              </a:rPr>
              <a:t>Ingresos netos</a:t>
            </a:r>
          </a:p>
        </rich>
      </tx>
    </title>
    <plotArea>
      <barChart>
        <barDir val="col"/>
        <grouping val="clustered"/>
        <ser>
          <idx val="0"/>
          <order val="0"/>
          <spPr>
            <a:solidFill xmlns:a="http://schemas.openxmlformats.org/drawingml/2006/main">
              <a:srgbClr val="46C8F5"/>
            </a:solidFill>
            <a:ln xmlns:a="http://schemas.openxmlformats.org/drawingml/2006/main">
              <a:noFill/>
              <a:prstDash val="solid"/>
            </a:ln>
          </spPr>
          <cat>
            <numRef>
              <f>'Resultados'!$B$4:$H$4</f>
            </numRef>
          </cat>
          <val>
            <numRef>
              <f>'Resultados'!$B$5:$H$5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>
            <a:solidFill>
              <a:srgbClr val="8A93A3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00">
                <a:solidFill>
                  <a:srgbClr val="8A93A3"/>
                </a:solidFill>
              </a:defRPr>
            </a:pPr>
            <a:r>
              <a:t/>
            </a: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00">
                <a:solidFill>
                  <a:srgbClr val="8A93A3"/>
                </a:solidFill>
              </a:defRPr>
            </a:pPr>
            <a:r>
              <a:t/>
            </a:r>
          </a:p>
        </txPr>
        <crossAx val="10"/>
      </valAx>
      <spPr>
        <a:solidFill xmlns:a="http://schemas.openxmlformats.org/drawingml/2006/main">
          <a:srgbClr val="0A0C12"/>
        </a:solidFill>
        <a:ln xmlns:a="http://schemas.openxmlformats.org/drawingml/2006/main">
          <a:prstDash val="solid"/>
        </a:ln>
      </spPr>
    </plotArea>
    <plotVisOnly val="1"/>
    <dispBlanksAs val="gap"/>
  </chart>
  <spPr>
    <a:solidFill xmlns:a="http://schemas.openxmlformats.org/drawingml/2006/main">
      <a:srgbClr val="0A0C12"/>
    </a:solidFill>
    <a:ln xmlns:a="http://schemas.openxmlformats.org/drawingml/2006/main">
      <a:prstDash val="solid"/>
    </a:ln>
  </spPr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46C8F5"/>
                </a:solidFill>
              </a:defRPr>
            </a:pPr>
            <a:r>
              <a:rPr sz="1100" b="1">
                <a:solidFill>
                  <a:srgbClr val="46C8F5"/>
                </a:solidFill>
              </a:rPr>
              <a:t>Ganancia neta</a:t>
            </a:r>
          </a:p>
        </rich>
      </tx>
    </title>
    <plotArea>
      <barChart>
        <barDir val="col"/>
        <grouping val="clustered"/>
        <ser>
          <idx val="0"/>
          <order val="0"/>
          <spPr>
            <a:solidFill xmlns:a="http://schemas.openxmlformats.org/drawingml/2006/main">
              <a:srgbClr val="4CD37A"/>
            </a:solidFill>
            <a:ln xmlns:a="http://schemas.openxmlformats.org/drawingml/2006/main">
              <a:noFill/>
              <a:prstDash val="solid"/>
            </a:ln>
          </spPr>
          <cat>
            <numRef>
              <f>'Resultados'!$B$4:$H$4</f>
            </numRef>
          </cat>
          <val>
            <numRef>
              <f>'Resultados'!$B$19:$H$19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>
            <a:solidFill>
              <a:srgbClr val="8A93A3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00">
                <a:solidFill>
                  <a:srgbClr val="8A93A3"/>
                </a:solidFill>
              </a:defRPr>
            </a:pPr>
            <a:r>
              <a:t/>
            </a: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00">
                <a:solidFill>
                  <a:srgbClr val="8A93A3"/>
                </a:solidFill>
              </a:defRPr>
            </a:pPr>
            <a:r>
              <a:t/>
            </a:r>
          </a:p>
        </txPr>
        <crossAx val="10"/>
      </valAx>
      <spPr>
        <a:solidFill xmlns:a="http://schemas.openxmlformats.org/drawingml/2006/main">
          <a:srgbClr val="0A0C12"/>
        </a:solidFill>
        <a:ln xmlns:a="http://schemas.openxmlformats.org/drawingml/2006/main">
          <a:prstDash val="solid"/>
        </a:ln>
      </spPr>
    </plotArea>
    <plotVisOnly val="1"/>
    <dispBlanksAs val="gap"/>
  </chart>
  <spPr>
    <a:solidFill xmlns:a="http://schemas.openxmlformats.org/drawingml/2006/main">
      <a:srgbClr val="0A0C12"/>
    </a:solidFill>
    <a:ln xmlns:a="http://schemas.openxmlformats.org/drawingml/2006/main">
      <a:prstDash val="solid"/>
    </a:ln>
  </spPr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46C8F5"/>
                </a:solidFill>
              </a:defRPr>
            </a:pPr>
            <a:r>
              <a:rPr sz="1100" b="1">
                <a:solidFill>
                  <a:srgbClr val="46C8F5"/>
                </a:solidFill>
              </a:rPr>
              <a:t>Caja y equivalentes</a:t>
            </a:r>
          </a:p>
        </rich>
      </tx>
    </title>
    <plotArea>
      <lineChart>
        <grouping val="standard"/>
        <ser>
          <idx val="0"/>
          <order val="0"/>
          <spPr>
            <a:ln xmlns:a="http://schemas.openxmlformats.org/drawingml/2006/main" w="28575">
              <a:solidFill>
                <a:srgbClr val="F5B43C"/>
              </a:solidFill>
              <a:prstDash val="solid"/>
            </a:ln>
          </spPr>
          <marker>
            <symbol val="circle"/>
            <size val="6"/>
            <spPr>
              <a:solidFill xmlns:a="http://schemas.openxmlformats.org/drawingml/2006/main">
                <a:srgbClr val="F5B43C"/>
              </a:solidFill>
              <a:ln xmlns:a="http://schemas.openxmlformats.org/drawingml/2006/main">
                <a:solidFill>
                  <a:srgbClr val="F5B43C"/>
                </a:solidFill>
                <a:prstDash val="solid"/>
              </a:ln>
            </spPr>
          </marker>
          <cat>
            <numRef>
              <f>'Resultados'!$B$4:$H$4</f>
            </numRef>
          </cat>
          <val>
            <numRef>
              <f>'Balance'!$B$5:$H$5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>
            <a:solidFill>
              <a:srgbClr val="8A93A3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00">
                <a:solidFill>
                  <a:srgbClr val="8A93A3"/>
                </a:solidFill>
              </a:defRPr>
            </a:pPr>
            <a:r>
              <a:t/>
            </a: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00">
                <a:solidFill>
                  <a:srgbClr val="8A93A3"/>
                </a:solidFill>
              </a:defRPr>
            </a:pPr>
            <a:r>
              <a:t/>
            </a:r>
          </a:p>
        </txPr>
        <crossAx val="10"/>
      </valAx>
      <spPr>
        <a:solidFill xmlns:a="http://schemas.openxmlformats.org/drawingml/2006/main">
          <a:srgbClr val="0A0C12"/>
        </a:solidFill>
        <a:ln xmlns:a="http://schemas.openxmlformats.org/drawingml/2006/main">
          <a:prstDash val="solid"/>
        </a:ln>
      </spPr>
    </plotArea>
    <plotVisOnly val="1"/>
    <dispBlanksAs val="gap"/>
  </chart>
  <spPr>
    <a:solidFill xmlns:a="http://schemas.openxmlformats.org/drawingml/2006/main">
      <a:srgbClr val="0A0C12"/>
    </a:solidFill>
    <a:ln xmlns:a="http://schemas.openxmlformats.org/drawingml/2006/main"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drawing1.xml><?xml version="1.0" encoding="utf-8"?>
<wsDr xmlns="http://schemas.openxmlformats.org/drawingml/2006/spreadsheetDrawing">
  <oneCellAnchor>
    <from>
      <col>1</col>
      <colOff>0</colOff>
      <row>16</row>
      <rowOff>0</rowOff>
    </from>
    <ext cx="3960000" cy="27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4</col>
      <colOff>0</colOff>
      <row>16</row>
      <rowOff>0</rowOff>
    </from>
    <ext cx="3960000" cy="27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7</col>
      <colOff>0</colOff>
      <row>16</row>
      <rowOff>0</rowOff>
    </from>
    <ext cx="3960000" cy="27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Hoja1">
    <tabColor rgb="FF46C8F5"/>
    <outlinePr summaryBelow="1" summaryRight="1"/>
    <pageSetUpPr/>
  </sheetPr>
  <dimension ref="A1:L100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I15" sqref="I15"/>
    </sheetView>
  </sheetViews>
  <sheetFormatPr baseColWidth="10" defaultColWidth="8.7109375" defaultRowHeight="15"/>
  <cols>
    <col width="34" customWidth="1" min="1" max="1"/>
    <col width="13" customWidth="1" min="2" max="8"/>
  </cols>
  <sheetData>
    <row r="1" ht="21.75" customHeight="1">
      <c r="A1" s="1" t="inlineStr">
        <is>
          <t>SUPUESTOS - MODELO DE 3 ESTADOS - MERCADOLIBRE (MELI)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</row>
    <row r="2" ht="13.5" customHeight="1">
      <c r="A2" s="3" t="inlineStr">
        <is>
          <t>Version simplificada (sin cartera de creditos/fondos de clientes al detalle) - USD millones - Fuente: MELI 8-K FY2025 (24/feb/2026)</t>
        </is>
      </c>
      <c r="B2" s="2" t="n"/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</row>
    <row r="4" ht="18" customHeight="1">
      <c r="A4" s="4" t="inlineStr">
        <is>
          <t>HISTORICO - ESTADO DE RESULTADOS</t>
        </is>
      </c>
      <c r="B4" s="5" t="n"/>
      <c r="C4" s="5" t="n"/>
      <c r="D4" s="5" t="n"/>
      <c r="E4" s="5" t="n"/>
      <c r="F4" s="5" t="n"/>
      <c r="G4" s="5" t="n"/>
      <c r="H4" s="5" t="n"/>
      <c r="I4" s="2" t="n"/>
      <c r="J4" s="2" t="n"/>
      <c r="K4" s="2" t="n"/>
      <c r="L4" s="2" t="n"/>
    </row>
    <row r="5">
      <c r="A5" s="6" t="inlineStr">
        <is>
          <t>Concepto</t>
        </is>
      </c>
      <c r="B5" s="7" t="inlineStr">
        <is>
          <t>FY2024</t>
        </is>
      </c>
      <c r="C5" s="7" t="inlineStr">
        <is>
          <t>FY2025</t>
        </is>
      </c>
      <c r="D5" s="2" t="n"/>
      <c r="E5" s="2" t="n"/>
      <c r="F5" s="2" t="n"/>
      <c r="G5" s="2" t="n"/>
      <c r="H5" s="2" t="n"/>
      <c r="I5" s="2" t="n"/>
      <c r="J5" s="2" t="n"/>
      <c r="K5" s="2" t="n"/>
      <c r="L5" s="2" t="n"/>
    </row>
    <row r="6">
      <c r="A6" s="8" t="inlineStr">
        <is>
          <t>Ingresos netos</t>
        </is>
      </c>
      <c r="B6" s="9" t="n">
        <v>20777</v>
      </c>
      <c r="C6" s="9" t="n">
        <v>28893</v>
      </c>
      <c r="D6" s="2" t="n"/>
      <c r="E6" s="2" t="n"/>
      <c r="F6" s="2" t="n"/>
      <c r="G6" s="2" t="n"/>
      <c r="H6" s="2" t="n"/>
      <c r="I6" s="2" t="n"/>
      <c r="J6" s="2" t="n"/>
      <c r="K6" s="2" t="n"/>
      <c r="L6" s="2" t="n"/>
    </row>
    <row r="7">
      <c r="A7" s="8" t="inlineStr">
        <is>
          <t>Costo de ingresos</t>
        </is>
      </c>
      <c r="B7" s="9" t="n">
        <v>-11200</v>
      </c>
      <c r="C7" s="9" t="n">
        <v>-16035</v>
      </c>
      <c r="D7" s="2" t="n"/>
      <c r="E7" s="2" t="n"/>
      <c r="F7" s="2" t="n"/>
      <c r="G7" s="2" t="n"/>
      <c r="H7" s="2" t="n"/>
      <c r="I7" s="2" t="n"/>
      <c r="J7" s="2" t="n"/>
      <c r="K7" s="2" t="n"/>
      <c r="L7" s="2" t="n"/>
    </row>
    <row r="8">
      <c r="A8" s="10" t="inlineStr">
        <is>
          <t>Utilidad bruta</t>
        </is>
      </c>
      <c r="B8" s="11">
        <f>B6+B7</f>
        <v/>
      </c>
      <c r="C8" s="11">
        <f>C6+C7</f>
        <v/>
      </c>
      <c r="D8" s="2" t="n"/>
      <c r="E8" s="2" t="n"/>
      <c r="F8" s="2" t="n"/>
      <c r="G8" s="2" t="n"/>
      <c r="H8" s="2" t="n"/>
      <c r="I8" s="2" t="n"/>
      <c r="J8" s="2" t="n"/>
      <c r="K8" s="2" t="n"/>
      <c r="L8" s="2" t="n"/>
    </row>
    <row r="9">
      <c r="A9" s="8" t="inlineStr">
        <is>
          <t>Product &amp; tech development</t>
        </is>
      </c>
      <c r="B9" s="9" t="n">
        <v>-1934</v>
      </c>
      <c r="C9" s="9" t="n">
        <v>-2269</v>
      </c>
      <c r="D9" s="2" t="n"/>
      <c r="E9" s="2" t="n"/>
      <c r="F9" s="2" t="n"/>
      <c r="G9" s="2" t="n"/>
      <c r="H9" s="2" t="n"/>
      <c r="I9" s="2" t="n"/>
      <c r="J9" s="2" t="n"/>
      <c r="K9" s="2" t="n"/>
      <c r="L9" s="2" t="n"/>
    </row>
    <row r="10">
      <c r="A10" s="8" t="inlineStr">
        <is>
          <t>Sales &amp; marketing</t>
        </is>
      </c>
      <c r="B10" s="9" t="n">
        <v>-2191</v>
      </c>
      <c r="C10" s="9" t="n">
        <v>-3219</v>
      </c>
      <c r="D10" s="2" t="n"/>
      <c r="E10" s="2" t="n"/>
      <c r="F10" s="2" t="n"/>
      <c r="G10" s="2" t="n"/>
      <c r="H10" s="2" t="n"/>
      <c r="I10" s="2" t="n"/>
      <c r="J10" s="2" t="n"/>
      <c r="K10" s="2" t="n"/>
      <c r="L10" s="2" t="n"/>
    </row>
    <row r="11">
      <c r="A11" s="8" t="inlineStr">
        <is>
          <t>Provision incobrables</t>
        </is>
      </c>
      <c r="B11" s="9" t="n">
        <v>-1858</v>
      </c>
      <c r="C11" s="9" t="n">
        <v>-3091</v>
      </c>
      <c r="D11" s="2" t="n"/>
      <c r="E11" s="2" t="n"/>
      <c r="F11" s="2" t="n"/>
      <c r="G11" s="2" t="n"/>
      <c r="H11" s="2" t="n"/>
      <c r="I11" s="2" t="n"/>
      <c r="J11" s="2" t="n"/>
      <c r="K11" s="2" t="n"/>
      <c r="L11" s="2" t="n"/>
    </row>
    <row r="12">
      <c r="A12" s="8" t="inlineStr">
        <is>
          <t>G&amp;A</t>
        </is>
      </c>
      <c r="B12" s="9" t="n">
        <v>-963</v>
      </c>
      <c r="C12" s="9" t="n">
        <v>-1078</v>
      </c>
      <c r="D12" s="2" t="n"/>
      <c r="E12" s="2" t="n"/>
      <c r="F12" s="2" t="n"/>
      <c r="G12" s="2" t="n"/>
      <c r="H12" s="2" t="n"/>
      <c r="I12" s="2" t="n"/>
      <c r="J12" s="2" t="n"/>
      <c r="K12" s="2" t="n"/>
      <c r="L12" s="2" t="n"/>
    </row>
    <row r="13">
      <c r="A13" s="10" t="inlineStr">
        <is>
          <t>Total opex</t>
        </is>
      </c>
      <c r="B13" s="11">
        <f>SUM(B9:B12)</f>
        <v/>
      </c>
      <c r="C13" s="11">
        <f>SUM(C9:C12)</f>
        <v/>
      </c>
      <c r="D13" s="2" t="n"/>
      <c r="E13" s="2" t="n"/>
      <c r="F13" s="2" t="n"/>
      <c r="G13" s="2" t="n"/>
      <c r="H13" s="2" t="n"/>
      <c r="I13" s="2" t="n"/>
      <c r="J13" s="2" t="n"/>
      <c r="K13" s="2" t="n"/>
      <c r="L13" s="2" t="n"/>
    </row>
    <row r="14">
      <c r="A14" s="10" t="inlineStr">
        <is>
          <t>Resultado operativo</t>
        </is>
      </c>
      <c r="B14" s="11">
        <f>B8+B13</f>
        <v/>
      </c>
      <c r="C14" s="11">
        <f>C8+C13</f>
        <v/>
      </c>
      <c r="D14" s="2" t="n"/>
      <c r="E14" s="2" t="n"/>
      <c r="F14" s="2" t="n"/>
      <c r="G14" s="2" t="n"/>
      <c r="H14" s="2" t="n"/>
      <c r="I14" s="2" t="n"/>
      <c r="J14" s="2" t="n"/>
      <c r="K14" s="2" t="n"/>
      <c r="L14" s="2" t="n"/>
    </row>
    <row r="15">
      <c r="A15" s="8" t="inlineStr">
        <is>
          <t>Ingresos financieros</t>
        </is>
      </c>
      <c r="B15" s="9" t="n">
        <v>148</v>
      </c>
      <c r="C15" s="9" t="n">
        <v>138</v>
      </c>
      <c r="D15" s="2" t="n"/>
      <c r="E15" s="2" t="n"/>
      <c r="F15" s="2" t="n"/>
      <c r="G15" s="2" t="n"/>
      <c r="H15" s="2" t="n"/>
      <c r="I15" s="2" t="n"/>
      <c r="J15" s="2" t="n"/>
      <c r="K15" s="2" t="n"/>
      <c r="L15" s="2" t="n"/>
    </row>
    <row r="16">
      <c r="A16" s="8" t="inlineStr">
        <is>
          <t>Gastos financieros</t>
        </is>
      </c>
      <c r="B16" s="9" t="n">
        <v>-165</v>
      </c>
      <c r="C16" s="9" t="n">
        <v>-160</v>
      </c>
      <c r="D16" s="2" t="n"/>
      <c r="E16" s="2" t="n"/>
      <c r="F16" s="2" t="n"/>
      <c r="G16" s="2" t="n"/>
      <c r="H16" s="2" t="n"/>
      <c r="I16" s="2" t="n"/>
      <c r="J16" s="2" t="n"/>
      <c r="K16" s="2" t="n"/>
      <c r="L16" s="2" t="n"/>
    </row>
    <row r="17">
      <c r="A17" s="8" t="inlineStr">
        <is>
          <t>Dif. de cambio, neta</t>
        </is>
      </c>
      <c r="B17" s="9" t="n">
        <v>-182</v>
      </c>
      <c r="C17" s="9" t="n">
        <v>-337</v>
      </c>
      <c r="D17" s="2" t="n"/>
      <c r="E17" s="2" t="n"/>
      <c r="F17" s="2" t="n"/>
      <c r="G17" s="2" t="n"/>
      <c r="H17" s="2" t="n"/>
      <c r="I17" s="2" t="n"/>
      <c r="J17" s="2" t="n"/>
      <c r="K17" s="2" t="n"/>
      <c r="L17" s="2" t="n"/>
    </row>
    <row r="18">
      <c r="A18" s="10" t="inlineStr">
        <is>
          <t>Resultado antes de impuestos</t>
        </is>
      </c>
      <c r="B18" s="11">
        <f>SUM(B14:B17)</f>
        <v/>
      </c>
      <c r="C18" s="11">
        <f>SUM(C14:C17)</f>
        <v/>
      </c>
      <c r="D18" s="2" t="n"/>
      <c r="E18" s="2" t="n"/>
      <c r="F18" s="2" t="n"/>
      <c r="G18" s="2" t="n"/>
      <c r="H18" s="2" t="n"/>
      <c r="I18" s="2" t="n"/>
      <c r="J18" s="2" t="n"/>
      <c r="K18" s="2" t="n"/>
      <c r="L18" s="2" t="n"/>
    </row>
    <row r="19">
      <c r="A19" s="8" t="inlineStr">
        <is>
          <t>Impuesto a las ganancias</t>
        </is>
      </c>
      <c r="B19" s="9" t="n">
        <v>-521</v>
      </c>
      <c r="C19" s="9" t="n">
        <v>-845</v>
      </c>
      <c r="D19" s="2" t="n"/>
      <c r="E19" s="2" t="n"/>
      <c r="F19" s="2" t="n"/>
      <c r="G19" s="2" t="n"/>
      <c r="H19" s="2" t="n"/>
      <c r="I19" s="2" t="n"/>
      <c r="J19" s="2" t="n"/>
      <c r="K19" s="2" t="n"/>
      <c r="L19" s="2" t="n"/>
    </row>
    <row r="20">
      <c r="A20" s="10" t="inlineStr">
        <is>
          <t>Ganancia neta</t>
        </is>
      </c>
      <c r="B20" s="11">
        <f>B18+B19</f>
        <v/>
      </c>
      <c r="C20" s="11">
        <f>C18+C19</f>
        <v/>
      </c>
      <c r="D20" s="2" t="n"/>
      <c r="E20" s="2" t="n"/>
      <c r="F20" s="2" t="n"/>
      <c r="G20" s="2" t="n"/>
      <c r="H20" s="2" t="n"/>
      <c r="I20" s="2" t="n"/>
      <c r="J20" s="2" t="n"/>
      <c r="K20" s="2" t="n"/>
      <c r="L20" s="2" t="n"/>
    </row>
    <row r="21">
      <c r="A21" s="2" t="n"/>
      <c r="B21" s="2" t="n"/>
      <c r="C21" s="2" t="n"/>
      <c r="D21" s="2" t="n"/>
      <c r="E21" s="2" t="n"/>
      <c r="F21" s="2" t="n"/>
      <c r="G21" s="2" t="n"/>
      <c r="H21" s="2" t="n"/>
      <c r="I21" s="2" t="n"/>
      <c r="J21" s="2" t="n"/>
      <c r="K21" s="2" t="n"/>
      <c r="L21" s="2" t="n"/>
    </row>
    <row r="22">
      <c r="A22" s="8" t="inlineStr">
        <is>
          <t>D&amp;A</t>
        </is>
      </c>
      <c r="B22" s="9" t="n">
        <v>617</v>
      </c>
      <c r="C22" s="9" t="n">
        <v>818</v>
      </c>
      <c r="D22" s="2" t="n"/>
      <c r="E22" s="2" t="n"/>
      <c r="F22" s="2" t="n"/>
      <c r="G22" s="2" t="n"/>
      <c r="H22" s="2" t="n"/>
      <c r="I22" s="2" t="n"/>
      <c r="J22" s="2" t="n"/>
      <c r="K22" s="2" t="n"/>
      <c r="L22" s="2" t="n"/>
    </row>
    <row r="23">
      <c r="A23" s="8" t="inlineStr">
        <is>
          <t>Capex</t>
        </is>
      </c>
      <c r="B23" s="9" t="n">
        <v>860</v>
      </c>
      <c r="C23" s="9" t="n">
        <v>1327</v>
      </c>
      <c r="D23" s="2" t="n"/>
      <c r="E23" s="2" t="n"/>
      <c r="F23" s="2" t="n"/>
      <c r="G23" s="2" t="n"/>
      <c r="H23" s="2" t="n"/>
      <c r="I23" s="2" t="n"/>
      <c r="J23" s="2" t="n"/>
      <c r="K23" s="2" t="n"/>
      <c r="L23" s="2" t="n"/>
    </row>
    <row r="24">
      <c r="A24" s="2" t="n"/>
      <c r="B24" s="2" t="n"/>
      <c r="C24" s="2" t="n"/>
      <c r="D24" s="2" t="n"/>
      <c r="E24" s="2" t="n"/>
      <c r="F24" s="2" t="n"/>
      <c r="G24" s="2" t="n"/>
      <c r="H24" s="2" t="n"/>
      <c r="I24" s="2" t="n"/>
      <c r="J24" s="2" t="n"/>
      <c r="K24" s="2" t="n"/>
      <c r="L24" s="2" t="n"/>
    </row>
    <row r="25" ht="18" customHeight="1">
      <c r="A25" s="4" t="inlineStr">
        <is>
          <t>HISTORICO - BALANCE (simplificado)</t>
        </is>
      </c>
      <c r="B25" s="5" t="n"/>
      <c r="C25" s="5" t="n"/>
      <c r="D25" s="5" t="n"/>
      <c r="E25" s="5" t="n"/>
      <c r="F25" s="5" t="n"/>
      <c r="G25" s="5" t="n"/>
      <c r="H25" s="5" t="n"/>
      <c r="I25" s="2" t="n"/>
      <c r="J25" s="2" t="n"/>
      <c r="K25" s="2" t="n"/>
      <c r="L25" s="2" t="n"/>
    </row>
    <row r="26">
      <c r="A26" s="6" t="inlineStr">
        <is>
          <t>Concepto</t>
        </is>
      </c>
      <c r="B26" s="7" t="inlineStr">
        <is>
          <t>FY2024</t>
        </is>
      </c>
      <c r="C26" s="7" t="inlineStr">
        <is>
          <t>FY2025</t>
        </is>
      </c>
      <c r="D26" s="2" t="n"/>
      <c r="E26" s="2" t="n"/>
      <c r="F26" s="2" t="n"/>
      <c r="G26" s="2" t="n"/>
      <c r="H26" s="2" t="n"/>
      <c r="I26" s="2" t="n"/>
      <c r="J26" s="2" t="n"/>
      <c r="K26" s="2" t="n"/>
      <c r="L26" s="2" t="n"/>
    </row>
    <row r="27">
      <c r="A27" s="8" t="inlineStr">
        <is>
          <t>Caja y equivalentes</t>
        </is>
      </c>
      <c r="B27" s="9" t="n">
        <v>2635</v>
      </c>
      <c r="C27" s="9" t="n">
        <v>3670</v>
      </c>
      <c r="D27" s="2" t="n"/>
      <c r="E27" s="2" t="n"/>
      <c r="F27" s="2" t="n"/>
      <c r="G27" s="2" t="n"/>
      <c r="H27" s="2" t="n"/>
      <c r="I27" s="2" t="n"/>
      <c r="J27" s="2" t="n"/>
      <c r="K27" s="2" t="n"/>
      <c r="L27" s="2" t="n"/>
    </row>
    <row r="28">
      <c r="A28" s="8" t="inlineStr">
        <is>
          <t>Inversiones corrientes</t>
        </is>
      </c>
      <c r="B28" s="9" t="n">
        <v>4485</v>
      </c>
      <c r="C28" s="9" t="n">
        <v>2629</v>
      </c>
      <c r="D28" s="2" t="n"/>
      <c r="E28" s="2" t="n"/>
      <c r="F28" s="2" t="n"/>
      <c r="G28" s="2" t="n"/>
      <c r="H28" s="2" t="n"/>
      <c r="I28" s="2" t="n"/>
      <c r="J28" s="2" t="n"/>
      <c r="K28" s="2" t="n"/>
      <c r="L28" s="2" t="n"/>
    </row>
    <row r="29">
      <c r="A29" s="8" t="inlineStr">
        <is>
          <t>Cuentas por cobrar comerciales</t>
        </is>
      </c>
      <c r="B29" s="9" t="n">
        <v>255</v>
      </c>
      <c r="C29" s="9" t="n">
        <v>369</v>
      </c>
      <c r="D29" s="2" t="n"/>
      <c r="E29" s="2" t="n"/>
      <c r="F29" s="2" t="n"/>
      <c r="G29" s="2" t="n"/>
      <c r="H29" s="2" t="n"/>
      <c r="I29" s="2" t="n"/>
      <c r="J29" s="2" t="n"/>
      <c r="K29" s="2" t="n"/>
      <c r="L29" s="2" t="n"/>
    </row>
    <row r="30">
      <c r="A30" s="8" t="inlineStr">
        <is>
          <t>Inventarios</t>
        </is>
      </c>
      <c r="B30" s="9" t="n">
        <v>296</v>
      </c>
      <c r="C30" s="9" t="n">
        <v>570</v>
      </c>
      <c r="D30" s="2" t="n"/>
      <c r="E30" s="2" t="n"/>
      <c r="F30" s="2" t="n"/>
      <c r="G30" s="2" t="n"/>
      <c r="H30" s="2" t="n"/>
      <c r="I30" s="2" t="n"/>
      <c r="J30" s="2" t="n"/>
      <c r="K30" s="2" t="n"/>
      <c r="L30" s="2" t="n"/>
    </row>
    <row r="31">
      <c r="A31" s="8" t="inlineStr">
        <is>
          <t>Otros activos corrientes</t>
        </is>
      </c>
      <c r="B31" s="9" t="n">
        <v>403</v>
      </c>
      <c r="C31" s="9" t="n">
        <v>720</v>
      </c>
      <c r="D31" s="2" t="n"/>
      <c r="E31" s="2" t="n"/>
      <c r="F31" s="2" t="n"/>
      <c r="G31" s="2" t="n"/>
      <c r="H31" s="2" t="n"/>
      <c r="I31" s="2" t="n"/>
      <c r="J31" s="2" t="n"/>
      <c r="K31" s="2" t="n"/>
      <c r="L31" s="2" t="n"/>
    </row>
    <row r="32">
      <c r="A32" s="10" t="inlineStr">
        <is>
          <t>Total activo corriente</t>
        </is>
      </c>
      <c r="B32" s="11">
        <f>SUM(B27:B31)</f>
        <v/>
      </c>
      <c r="C32" s="11">
        <f>SUM(C27:C31)</f>
        <v/>
      </c>
      <c r="D32" s="2" t="n"/>
      <c r="E32" s="2" t="n"/>
      <c r="F32" s="2" t="n"/>
      <c r="G32" s="2" t="n"/>
      <c r="H32" s="2" t="n"/>
      <c r="I32" s="2" t="n"/>
      <c r="J32" s="2" t="n"/>
      <c r="K32" s="2" t="n"/>
      <c r="L32" s="2" t="n"/>
    </row>
    <row r="33">
      <c r="A33" s="8" t="inlineStr">
        <is>
          <t>Inversiones no corrientes</t>
        </is>
      </c>
      <c r="B33" s="9" t="n">
        <v>1203</v>
      </c>
      <c r="C33" s="9" t="n">
        <v>1764</v>
      </c>
      <c r="D33" s="2" t="n"/>
      <c r="E33" s="2" t="n"/>
      <c r="F33" s="2" t="n"/>
      <c r="G33" s="2" t="n"/>
      <c r="H33" s="2" t="n"/>
      <c r="I33" s="2" t="n"/>
      <c r="J33" s="2" t="n"/>
      <c r="K33" s="2" t="n"/>
      <c r="L33" s="2" t="n"/>
    </row>
    <row r="34">
      <c r="A34" s="8" t="inlineStr">
        <is>
          <t>PP&amp;E, neto</t>
        </is>
      </c>
      <c r="B34" s="9" t="n">
        <v>1380</v>
      </c>
      <c r="C34" s="9" t="n">
        <v>2303</v>
      </c>
      <c r="D34" s="2" t="n"/>
      <c r="E34" s="2" t="n"/>
      <c r="F34" s="2" t="n"/>
      <c r="G34" s="2" t="n"/>
      <c r="H34" s="2" t="n"/>
      <c r="I34" s="2" t="n"/>
      <c r="J34" s="2" t="n"/>
      <c r="K34" s="2" t="n"/>
      <c r="L34" s="2" t="n"/>
    </row>
    <row r="35">
      <c r="A35" s="8" t="inlineStr">
        <is>
          <t>Fintech neto (posicion financiera)</t>
        </is>
      </c>
      <c r="B35" s="9" t="n">
        <v>3329</v>
      </c>
      <c r="C35" s="9" t="n">
        <v>9478</v>
      </c>
      <c r="D35" s="2" t="n"/>
      <c r="E35" s="2" t="n"/>
      <c r="F35" s="2" t="n"/>
      <c r="G35" s="2" t="n"/>
      <c r="H35" s="2" t="n"/>
      <c r="I35" s="2" t="n"/>
      <c r="J35" s="2" t="n"/>
      <c r="K35" s="2" t="n"/>
      <c r="L35" s="2" t="n"/>
    </row>
    <row r="36">
      <c r="A36" s="8" t="inlineStr">
        <is>
          <t>Otros activos no corrientes</t>
        </is>
      </c>
      <c r="B36" s="9" t="n">
        <v>2292</v>
      </c>
      <c r="C36" s="9" t="n">
        <v>4364</v>
      </c>
      <c r="D36" s="2" t="n"/>
      <c r="E36" s="2" t="n"/>
      <c r="F36" s="2" t="n"/>
      <c r="G36" s="2" t="n"/>
      <c r="H36" s="2" t="n"/>
      <c r="I36" s="2" t="n"/>
      <c r="J36" s="2" t="n"/>
      <c r="K36" s="2" t="n"/>
      <c r="L36" s="2" t="n"/>
    </row>
    <row r="37">
      <c r="A37" s="10" t="inlineStr">
        <is>
          <t>Total activo no corriente</t>
        </is>
      </c>
      <c r="B37" s="11">
        <f>SUM(B33:B36)</f>
        <v/>
      </c>
      <c r="C37" s="11">
        <f>SUM(C33:C36)</f>
        <v/>
      </c>
      <c r="D37" s="2" t="n"/>
      <c r="E37" s="2" t="n"/>
      <c r="F37" s="2" t="n"/>
      <c r="G37" s="2" t="n"/>
      <c r="H37" s="2" t="n"/>
      <c r="I37" s="2" t="n"/>
      <c r="J37" s="2" t="n"/>
      <c r="K37" s="2" t="n"/>
      <c r="L37" s="2" t="n"/>
    </row>
    <row r="38">
      <c r="A38" s="10" t="inlineStr">
        <is>
          <t>TOTAL ACTIVO</t>
        </is>
      </c>
      <c r="B38" s="11">
        <f>B32+B37</f>
        <v/>
      </c>
      <c r="C38" s="11">
        <f>C32+C37</f>
        <v/>
      </c>
      <c r="D38" s="2" t="n"/>
      <c r="E38" s="2" t="n"/>
      <c r="F38" s="2" t="n"/>
      <c r="G38" s="2" t="n"/>
      <c r="H38" s="2" t="n"/>
      <c r="I38" s="2" t="n"/>
      <c r="J38" s="2" t="n"/>
      <c r="K38" s="2" t="n"/>
      <c r="L38" s="2" t="n"/>
    </row>
    <row r="39">
      <c r="A39" s="2" t="n"/>
      <c r="B39" s="2" t="n"/>
      <c r="C39" s="2" t="n"/>
      <c r="D39" s="2" t="n"/>
      <c r="E39" s="2" t="n"/>
      <c r="F39" s="2" t="n"/>
      <c r="G39" s="2" t="n"/>
      <c r="H39" s="2" t="n"/>
      <c r="I39" s="2" t="n"/>
      <c r="J39" s="2" t="n"/>
      <c r="K39" s="2" t="n"/>
      <c r="L39" s="2" t="n"/>
    </row>
    <row r="40">
      <c r="A40" s="8" t="inlineStr">
        <is>
          <t>Cuentas por pagar comerciales</t>
        </is>
      </c>
      <c r="B40" s="9" t="n">
        <v>3196</v>
      </c>
      <c r="C40" s="9" t="n">
        <v>4502</v>
      </c>
      <c r="D40" s="2" t="n"/>
      <c r="E40" s="2" t="n"/>
      <c r="F40" s="2" t="n"/>
      <c r="G40" s="2" t="n"/>
      <c r="H40" s="2" t="n"/>
      <c r="I40" s="2" t="n"/>
      <c r="J40" s="2" t="n"/>
      <c r="K40" s="2" t="n"/>
      <c r="L40" s="2" t="n"/>
    </row>
    <row r="41">
      <c r="A41" s="8" t="inlineStr">
        <is>
          <t>Sueldos y cargas sociales</t>
        </is>
      </c>
      <c r="B41" s="9" t="n">
        <v>727</v>
      </c>
      <c r="C41" s="9" t="n">
        <v>916</v>
      </c>
      <c r="D41" s="2" t="n"/>
      <c r="E41" s="2" t="n"/>
      <c r="F41" s="2" t="n"/>
      <c r="G41" s="2" t="n"/>
      <c r="H41" s="2" t="n"/>
      <c r="I41" s="2" t="n"/>
      <c r="J41" s="2" t="n"/>
      <c r="K41" s="2" t="n"/>
      <c r="L41" s="2" t="n"/>
    </row>
    <row r="42">
      <c r="A42" s="8" t="inlineStr">
        <is>
          <t>Impuestos a pagar</t>
        </is>
      </c>
      <c r="B42" s="9" t="n">
        <v>525</v>
      </c>
      <c r="C42" s="9" t="n">
        <v>1140</v>
      </c>
      <c r="D42" s="2" t="n"/>
      <c r="E42" s="2" t="n"/>
      <c r="F42" s="2" t="n"/>
      <c r="G42" s="2" t="n"/>
      <c r="H42" s="2" t="n"/>
      <c r="I42" s="2" t="n"/>
      <c r="J42" s="2" t="n"/>
      <c r="K42" s="2" t="n"/>
      <c r="L42" s="2" t="n"/>
    </row>
    <row r="43">
      <c r="A43" s="8" t="inlineStr">
        <is>
          <t>Deuda financiera corriente</t>
        </is>
      </c>
      <c r="B43" s="9" t="n">
        <v>2828</v>
      </c>
      <c r="C43" s="9" t="n">
        <v>4623</v>
      </c>
      <c r="D43" s="2" t="n"/>
      <c r="E43" s="2" t="n"/>
      <c r="F43" s="2" t="n"/>
      <c r="G43" s="2" t="n"/>
      <c r="H43" s="2" t="n"/>
      <c r="I43" s="2" t="n"/>
      <c r="J43" s="2" t="n"/>
      <c r="K43" s="2" t="n"/>
      <c r="L43" s="2" t="n"/>
    </row>
    <row r="44">
      <c r="A44" s="8" t="inlineStr">
        <is>
          <t>Pasivo por leasing corriente</t>
        </is>
      </c>
      <c r="B44" s="9" t="n">
        <v>241</v>
      </c>
      <c r="C44" s="9" t="n">
        <v>430</v>
      </c>
      <c r="D44" s="2" t="n"/>
      <c r="E44" s="2" t="n"/>
      <c r="F44" s="2" t="n"/>
      <c r="G44" s="2" t="n"/>
      <c r="H44" s="2" t="n"/>
      <c r="I44" s="2" t="n"/>
      <c r="J44" s="2" t="n"/>
      <c r="K44" s="2" t="n"/>
      <c r="L44" s="2" t="n"/>
    </row>
    <row r="45">
      <c r="A45" s="8" t="inlineStr">
        <is>
          <t>Otros pasivos corrientes</t>
        </is>
      </c>
      <c r="B45" s="9" t="n">
        <v>209</v>
      </c>
      <c r="C45" s="9" t="n">
        <v>409</v>
      </c>
      <c r="D45" s="2" t="n"/>
      <c r="E45" s="2" t="n"/>
      <c r="F45" s="2" t="n"/>
      <c r="G45" s="2" t="n"/>
      <c r="H45" s="2" t="n"/>
      <c r="I45" s="2" t="n"/>
      <c r="J45" s="2" t="n"/>
      <c r="K45" s="2" t="n"/>
      <c r="L45" s="2" t="n"/>
    </row>
    <row r="46">
      <c r="A46" s="10" t="inlineStr">
        <is>
          <t>Total pasivo corriente</t>
        </is>
      </c>
      <c r="B46" s="11">
        <f>SUM(B40:B45)</f>
        <v/>
      </c>
      <c r="C46" s="11">
        <f>SUM(C40:C45)</f>
        <v/>
      </c>
      <c r="D46" s="2" t="n"/>
      <c r="E46" s="2" t="n"/>
      <c r="F46" s="2" t="n"/>
      <c r="G46" s="2" t="n"/>
      <c r="H46" s="2" t="n"/>
      <c r="I46" s="2" t="n"/>
      <c r="J46" s="2" t="n"/>
      <c r="K46" s="2" t="n"/>
      <c r="L46" s="2" t="n"/>
    </row>
    <row r="47">
      <c r="A47" s="8" t="inlineStr">
        <is>
          <t>Deuda financiera no corriente</t>
        </is>
      </c>
      <c r="B47" s="9" t="n">
        <v>2887</v>
      </c>
      <c r="C47" s="9" t="n">
        <v>4570</v>
      </c>
      <c r="D47" s="2" t="n"/>
      <c r="E47" s="2" t="n"/>
      <c r="F47" s="2" t="n"/>
      <c r="G47" s="2" t="n"/>
      <c r="H47" s="2" t="n"/>
      <c r="I47" s="2" t="n"/>
      <c r="J47" s="2" t="n"/>
      <c r="K47" s="2" t="n"/>
      <c r="L47" s="2" t="n"/>
    </row>
    <row r="48">
      <c r="A48" s="8" t="inlineStr">
        <is>
          <t>Pasivo por leasing no corriente</t>
        </is>
      </c>
      <c r="B48" s="9" t="n">
        <v>894</v>
      </c>
      <c r="C48" s="9" t="n">
        <v>1769</v>
      </c>
      <c r="D48" s="2" t="n"/>
      <c r="E48" s="2" t="n"/>
      <c r="F48" s="2" t="n"/>
      <c r="G48" s="2" t="n"/>
      <c r="H48" s="2" t="n"/>
      <c r="I48" s="2" t="n"/>
      <c r="J48" s="2" t="n"/>
      <c r="K48" s="2" t="n"/>
      <c r="L48" s="2" t="n"/>
    </row>
    <row r="49">
      <c r="A49" s="8" t="inlineStr">
        <is>
          <t>Impuesto diferido pasivo</t>
        </is>
      </c>
      <c r="B49" s="9" t="n">
        <v>204</v>
      </c>
      <c r="C49" s="9" t="n">
        <v>372</v>
      </c>
      <c r="D49" s="2" t="n"/>
      <c r="E49" s="2" t="n"/>
      <c r="F49" s="2" t="n"/>
      <c r="G49" s="2" t="n"/>
      <c r="H49" s="2" t="n"/>
      <c r="I49" s="2" t="n"/>
      <c r="J49" s="2" t="n"/>
      <c r="K49" s="2" t="n"/>
      <c r="L49" s="2" t="n"/>
    </row>
    <row r="50">
      <c r="A50" s="8" t="inlineStr">
        <is>
          <t>Otros pasivos no corrientes</t>
        </is>
      </c>
      <c r="B50" s="9" t="n">
        <v>216</v>
      </c>
      <c r="C50" s="9" t="n">
        <v>388</v>
      </c>
      <c r="D50" s="2" t="n"/>
      <c r="E50" s="2" t="n"/>
      <c r="F50" s="2" t="n"/>
      <c r="G50" s="2" t="n"/>
      <c r="H50" s="2" t="n"/>
      <c r="I50" s="2" t="n"/>
      <c r="J50" s="2" t="n"/>
      <c r="K50" s="2" t="n"/>
      <c r="L50" s="2" t="n"/>
    </row>
    <row r="51">
      <c r="A51" s="10" t="inlineStr">
        <is>
          <t>Total pasivo no corriente</t>
        </is>
      </c>
      <c r="B51" s="11">
        <f>SUM(B47:B50)</f>
        <v/>
      </c>
      <c r="C51" s="11">
        <f>SUM(C47:C50)</f>
        <v/>
      </c>
      <c r="D51" s="2" t="n"/>
      <c r="E51" s="2" t="n"/>
      <c r="F51" s="2" t="n"/>
      <c r="G51" s="2" t="n"/>
      <c r="H51" s="2" t="n"/>
      <c r="I51" s="2" t="n"/>
      <c r="J51" s="2" t="n"/>
      <c r="K51" s="2" t="n"/>
      <c r="L51" s="2" t="n"/>
    </row>
    <row r="52">
      <c r="A52" s="10" t="inlineStr">
        <is>
          <t>TOTAL PASIVO</t>
        </is>
      </c>
      <c r="B52" s="11">
        <f>B46+B51</f>
        <v/>
      </c>
      <c r="C52" s="11">
        <f>C46+C51</f>
        <v/>
      </c>
      <c r="D52" s="2" t="n"/>
      <c r="E52" s="2" t="n"/>
      <c r="F52" s="2" t="n"/>
      <c r="G52" s="2" t="n"/>
      <c r="H52" s="2" t="n"/>
      <c r="I52" s="2" t="n"/>
      <c r="J52" s="2" t="n"/>
      <c r="K52" s="2" t="n"/>
      <c r="L52" s="2" t="n"/>
    </row>
    <row r="53">
      <c r="A53" s="2" t="n"/>
      <c r="B53" s="2" t="n"/>
      <c r="C53" s="2" t="n"/>
      <c r="D53" s="2" t="n"/>
      <c r="E53" s="2" t="n"/>
      <c r="F53" s="2" t="n"/>
      <c r="G53" s="2" t="n"/>
      <c r="H53" s="2" t="n"/>
      <c r="I53" s="2" t="n"/>
      <c r="J53" s="2" t="n"/>
      <c r="K53" s="2" t="n"/>
      <c r="L53" s="2" t="n"/>
    </row>
    <row r="54">
      <c r="A54" s="8" t="inlineStr">
        <is>
          <t>Capital + prima de emision</t>
        </is>
      </c>
      <c r="B54" s="9" t="n">
        <v>1770</v>
      </c>
      <c r="C54" s="9" t="n">
        <v>1771</v>
      </c>
      <c r="D54" s="2" t="n"/>
      <c r="E54" s="2" t="n"/>
      <c r="F54" s="2" t="n"/>
      <c r="G54" s="2" t="n"/>
      <c r="H54" s="2" t="n"/>
      <c r="I54" s="2" t="n"/>
      <c r="J54" s="2" t="n"/>
      <c r="K54" s="2" t="n"/>
      <c r="L54" s="2" t="n"/>
    </row>
    <row r="55">
      <c r="A55" s="8" t="inlineStr">
        <is>
          <t>Acciones en tesoreria</t>
        </is>
      </c>
      <c r="B55" s="9" t="n">
        <v>-311</v>
      </c>
      <c r="C55" s="9" t="n">
        <v>-312</v>
      </c>
      <c r="D55" s="2" t="n"/>
      <c r="E55" s="2" t="n"/>
      <c r="F55" s="2" t="n"/>
      <c r="G55" s="2" t="n"/>
      <c r="H55" s="2" t="n"/>
      <c r="I55" s="2" t="n"/>
      <c r="J55" s="2" t="n"/>
      <c r="K55" s="2" t="n"/>
      <c r="L55" s="2" t="n"/>
    </row>
    <row r="56">
      <c r="A56" s="8" t="inlineStr">
        <is>
          <t>Ganancias retenidas</t>
        </is>
      </c>
      <c r="B56" s="9" t="n">
        <v>3812</v>
      </c>
      <c r="C56" s="9" t="n">
        <v>5809</v>
      </c>
      <c r="D56" s="2" t="n"/>
      <c r="E56" s="2" t="n"/>
      <c r="F56" s="2" t="n"/>
      <c r="G56" s="2" t="n"/>
      <c r="H56" s="2" t="n"/>
      <c r="I56" s="2" t="n"/>
      <c r="J56" s="2" t="n"/>
      <c r="K56" s="2" t="n"/>
      <c r="L56" s="2" t="n"/>
    </row>
    <row r="57">
      <c r="A57" s="8" t="inlineStr">
        <is>
          <t>ORI acumulado</t>
        </is>
      </c>
      <c r="B57" s="9" t="n">
        <v>-920</v>
      </c>
      <c r="C57" s="9" t="n">
        <v>-520</v>
      </c>
      <c r="D57" s="2" t="n"/>
      <c r="E57" s="2" t="n"/>
      <c r="F57" s="2" t="n"/>
      <c r="G57" s="2" t="n"/>
      <c r="H57" s="2" t="n"/>
      <c r="I57" s="2" t="n"/>
      <c r="J57" s="2" t="n"/>
      <c r="K57" s="2" t="n"/>
      <c r="L57" s="2" t="n"/>
    </row>
    <row r="58">
      <c r="A58" s="10" t="inlineStr">
        <is>
          <t>TOTAL PATRIMONIO</t>
        </is>
      </c>
      <c r="B58" s="11">
        <f>SUM(B54:B57)</f>
        <v/>
      </c>
      <c r="C58" s="11">
        <f>SUM(C54:C57)</f>
        <v/>
      </c>
      <c r="D58" s="2" t="n"/>
      <c r="E58" s="2" t="n"/>
      <c r="F58" s="2" t="n"/>
      <c r="G58" s="2" t="n"/>
      <c r="H58" s="2" t="n"/>
      <c r="I58" s="2" t="n"/>
      <c r="J58" s="2" t="n"/>
      <c r="K58" s="2" t="n"/>
      <c r="L58" s="2" t="n"/>
    </row>
    <row r="59">
      <c r="A59" s="2" t="n"/>
      <c r="B59" s="2" t="n"/>
      <c r="C59" s="2" t="n"/>
      <c r="D59" s="2" t="n"/>
      <c r="E59" s="2" t="n"/>
      <c r="F59" s="2" t="n"/>
      <c r="G59" s="2" t="n"/>
      <c r="H59" s="2" t="n"/>
      <c r="I59" s="2" t="n"/>
      <c r="J59" s="2" t="n"/>
      <c r="K59" s="2" t="n"/>
      <c r="L59" s="2" t="n"/>
    </row>
    <row r="60">
      <c r="A60" s="8" t="inlineStr">
        <is>
          <t>Check: Activo - Pasivo - Patrimonio</t>
        </is>
      </c>
      <c r="B60" s="12">
        <f>B38-B52-B58</f>
        <v/>
      </c>
      <c r="C60" s="12">
        <f>C38-C52-C58</f>
        <v/>
      </c>
      <c r="D60" s="2" t="n"/>
      <c r="E60" s="2" t="n"/>
      <c r="F60" s="2" t="n"/>
      <c r="G60" s="2" t="n"/>
      <c r="H60" s="2" t="n"/>
      <c r="I60" s="2" t="n"/>
      <c r="J60" s="2" t="n"/>
      <c r="K60" s="2" t="n"/>
      <c r="L60" s="2" t="n"/>
    </row>
    <row r="61">
      <c r="A61" s="2" t="n"/>
      <c r="B61" s="2" t="n"/>
      <c r="C61" s="2" t="n"/>
      <c r="D61" s="2" t="n"/>
      <c r="E61" s="2" t="n"/>
      <c r="F61" s="2" t="n"/>
      <c r="G61" s="2" t="n"/>
      <c r="H61" s="2" t="n"/>
      <c r="I61" s="2" t="n"/>
      <c r="J61" s="2" t="n"/>
      <c r="K61" s="2" t="n"/>
      <c r="L61" s="2" t="n"/>
    </row>
    <row r="62" ht="18" customHeight="1">
      <c r="A62" s="4" t="inlineStr">
        <is>
          <t>SUPUESTOS DE PROYECCION (FY2026E - FY2030E)</t>
        </is>
      </c>
      <c r="B62" s="5" t="n"/>
      <c r="C62" s="5" t="n"/>
      <c r="D62" s="5" t="n"/>
      <c r="E62" s="5" t="n"/>
      <c r="F62" s="5" t="n"/>
      <c r="G62" s="5" t="n"/>
      <c r="H62" s="5" t="n"/>
      <c r="I62" s="2" t="n"/>
      <c r="J62" s="2" t="n"/>
      <c r="K62" s="2" t="n"/>
      <c r="L62" s="2" t="n"/>
    </row>
    <row r="63">
      <c r="A63" s="6" t="inlineStr">
        <is>
          <t>Concepto</t>
        </is>
      </c>
      <c r="B63" s="7" t="n"/>
      <c r="C63" s="7" t="n"/>
      <c r="D63" s="7" t="inlineStr">
        <is>
          <t>FY2026E</t>
        </is>
      </c>
      <c r="E63" s="7" t="inlineStr">
        <is>
          <t>FY2027E</t>
        </is>
      </c>
      <c r="F63" s="7" t="inlineStr">
        <is>
          <t>FY2028E</t>
        </is>
      </c>
      <c r="G63" s="7" t="inlineStr">
        <is>
          <t>FY2029E</t>
        </is>
      </c>
      <c r="H63" s="7" t="inlineStr">
        <is>
          <t>FY2030E</t>
        </is>
      </c>
      <c r="I63" s="2" t="n"/>
      <c r="J63" s="2" t="n"/>
      <c r="K63" s="2" t="n"/>
      <c r="L63" s="2" t="n"/>
    </row>
    <row r="64">
      <c r="A64" s="8" t="inlineStr">
        <is>
          <t>Crecimiento de ingresos (%)</t>
        </is>
      </c>
      <c r="B64" s="2" t="n"/>
      <c r="C64" s="2" t="n"/>
      <c r="D64" s="13" t="n">
        <v>0.28</v>
      </c>
      <c r="E64" s="13" t="n">
        <v>0.23</v>
      </c>
      <c r="F64" s="13" t="n">
        <v>0.19</v>
      </c>
      <c r="G64" s="13" t="n">
        <v>0.16</v>
      </c>
      <c r="H64" s="13" t="n">
        <v>0.14</v>
      </c>
      <c r="I64" s="2" t="n"/>
      <c r="J64" s="2" t="n"/>
      <c r="K64" s="2" t="n"/>
      <c r="L64" s="2" t="n"/>
    </row>
    <row r="65">
      <c r="A65" s="8" t="inlineStr">
        <is>
          <t>Margen bruto (%)</t>
        </is>
      </c>
      <c r="B65" s="2" t="n"/>
      <c r="C65" s="2" t="n"/>
      <c r="D65" s="13" t="n">
        <v>0.445</v>
      </c>
      <c r="E65" s="13" t="n">
        <v>0.447</v>
      </c>
      <c r="F65" s="13" t="n">
        <v>0.45</v>
      </c>
      <c r="G65" s="13" t="n">
        <v>0.452</v>
      </c>
      <c r="H65" s="13" t="n">
        <v>0.455</v>
      </c>
      <c r="I65" s="2" t="n"/>
      <c r="J65" s="2" t="n"/>
      <c r="K65" s="2" t="n"/>
      <c r="L65" s="2" t="n"/>
    </row>
    <row r="66">
      <c r="A66" s="8" t="inlineStr">
        <is>
          <t>Product &amp; tech dev (% ingresos)</t>
        </is>
      </c>
      <c r="B66" s="2" t="n"/>
      <c r="C66" s="2" t="n"/>
      <c r="D66" s="13" t="n">
        <v>0.078</v>
      </c>
      <c r="E66" s="13" t="n">
        <v>0.077</v>
      </c>
      <c r="F66" s="13" t="n">
        <v>0.076</v>
      </c>
      <c r="G66" s="13" t="n">
        <v>0.075</v>
      </c>
      <c r="H66" s="13" t="n">
        <v>0.074</v>
      </c>
      <c r="I66" s="2" t="n"/>
      <c r="J66" s="2" t="n"/>
      <c r="K66" s="2" t="n"/>
      <c r="L66" s="2" t="n"/>
    </row>
    <row r="67">
      <c r="A67" s="8" t="inlineStr">
        <is>
          <t>Sales &amp; marketing (% ingresos)</t>
        </is>
      </c>
      <c r="B67" s="2" t="n"/>
      <c r="C67" s="2" t="n"/>
      <c r="D67" s="13" t="n">
        <v>0.11</v>
      </c>
      <c r="E67" s="13" t="n">
        <v>0.108</v>
      </c>
      <c r="F67" s="13" t="n">
        <v>0.106</v>
      </c>
      <c r="G67" s="13" t="n">
        <v>0.104</v>
      </c>
      <c r="H67" s="13" t="n">
        <v>0.102</v>
      </c>
      <c r="I67" s="2" t="n"/>
      <c r="J67" s="2" t="n"/>
      <c r="K67" s="2" t="n"/>
      <c r="L67" s="2" t="n"/>
    </row>
    <row r="68">
      <c r="A68" s="8" t="inlineStr">
        <is>
          <t>Provision incobrables (% ingresos)</t>
        </is>
      </c>
      <c r="B68" s="2" t="n"/>
      <c r="C68" s="2" t="n"/>
      <c r="D68" s="13" t="n">
        <v>0.105</v>
      </c>
      <c r="E68" s="13" t="n">
        <v>0.103</v>
      </c>
      <c r="F68" s="13" t="n">
        <v>0.101</v>
      </c>
      <c r="G68" s="13" t="n">
        <v>0.099</v>
      </c>
      <c r="H68" s="13" t="n">
        <v>0.097</v>
      </c>
      <c r="I68" s="2" t="n"/>
      <c r="J68" s="2" t="n"/>
      <c r="K68" s="2" t="n"/>
      <c r="L68" s="2" t="n"/>
    </row>
    <row r="69">
      <c r="A69" s="8" t="inlineStr">
        <is>
          <t>G&amp;A (% ingresos)</t>
        </is>
      </c>
      <c r="B69" s="2" t="n"/>
      <c r="C69" s="2" t="n"/>
      <c r="D69" s="13" t="n">
        <v>0.036</v>
      </c>
      <c r="E69" s="13" t="n">
        <v>0.035</v>
      </c>
      <c r="F69" s="13" t="n">
        <v>0.034</v>
      </c>
      <c r="G69" s="13" t="n">
        <v>0.033</v>
      </c>
      <c r="H69" s="13" t="n">
        <v>0.032</v>
      </c>
      <c r="I69" s="2" t="n"/>
      <c r="J69" s="2" t="n"/>
      <c r="K69" s="2" t="n"/>
      <c r="L69" s="2" t="n"/>
    </row>
    <row r="70">
      <c r="A70" s="8" t="inlineStr">
        <is>
          <t>Tasa interes activa (% s/ caja+inv.)</t>
        </is>
      </c>
      <c r="B70" s="2" t="n"/>
      <c r="C70" s="2" t="n"/>
      <c r="D70" s="13" t="n">
        <v>0.04</v>
      </c>
      <c r="E70" s="13" t="n">
        <v>0.04</v>
      </c>
      <c r="F70" s="13" t="n">
        <v>0.04</v>
      </c>
      <c r="G70" s="13" t="n">
        <v>0.04</v>
      </c>
      <c r="H70" s="13" t="n">
        <v>0.04</v>
      </c>
      <c r="I70" s="2" t="n"/>
      <c r="J70" s="2" t="n"/>
      <c r="K70" s="2" t="n"/>
      <c r="L70" s="2" t="n"/>
    </row>
    <row r="71">
      <c r="A71" s="8" t="inlineStr">
        <is>
          <t>Tasa interes pasiva (% s/ deuda)</t>
        </is>
      </c>
      <c r="B71" s="2" t="n"/>
      <c r="C71" s="2" t="n"/>
      <c r="D71" s="13" t="n">
        <v>0.045</v>
      </c>
      <c r="E71" s="13" t="n">
        <v>0.045</v>
      </c>
      <c r="F71" s="13" t="n">
        <v>0.045</v>
      </c>
      <c r="G71" s="13" t="n">
        <v>0.045</v>
      </c>
      <c r="H71" s="13" t="n">
        <v>0.045</v>
      </c>
      <c r="I71" s="2" t="n"/>
      <c r="J71" s="2" t="n"/>
      <c r="K71" s="2" t="n"/>
      <c r="L71" s="2" t="n"/>
    </row>
    <row r="72">
      <c r="A72" s="8" t="inlineStr">
        <is>
          <t>Dif. de cambio (% ingresos)</t>
        </is>
      </c>
      <c r="B72" s="2" t="n"/>
      <c r="C72" s="2" t="n"/>
      <c r="D72" s="13" t="n">
        <v>0.01</v>
      </c>
      <c r="E72" s="13" t="n">
        <v>0.008999999999999999</v>
      </c>
      <c r="F72" s="13" t="n">
        <v>0.008</v>
      </c>
      <c r="G72" s="13" t="n">
        <v>0.008</v>
      </c>
      <c r="H72" s="13" t="n">
        <v>0.007</v>
      </c>
      <c r="I72" s="2" t="n"/>
      <c r="J72" s="2" t="n"/>
      <c r="K72" s="2" t="n"/>
      <c r="L72" s="2" t="n"/>
    </row>
    <row r="73">
      <c r="A73" s="8" t="inlineStr">
        <is>
          <t>Tasa efectiva impuesto ganancias (%)</t>
        </is>
      </c>
      <c r="B73" s="2" t="n"/>
      <c r="C73" s="2" t="n"/>
      <c r="D73" s="13" t="n">
        <v>0.3</v>
      </c>
      <c r="E73" s="13" t="n">
        <v>0.3</v>
      </c>
      <c r="F73" s="13" t="n">
        <v>0.3</v>
      </c>
      <c r="G73" s="13" t="n">
        <v>0.3</v>
      </c>
      <c r="H73" s="13" t="n">
        <v>0.3</v>
      </c>
      <c r="I73" s="2" t="n"/>
      <c r="J73" s="2" t="n"/>
      <c r="K73" s="2" t="n"/>
      <c r="L73" s="2" t="n"/>
    </row>
    <row r="74">
      <c r="A74" s="8" t="inlineStr">
        <is>
          <t>D&amp;A (% ingresos)</t>
        </is>
      </c>
      <c r="B74" s="2" t="n"/>
      <c r="C74" s="2" t="n"/>
      <c r="D74" s="13" t="n">
        <v>0.029</v>
      </c>
      <c r="E74" s="13" t="n">
        <v>0.03</v>
      </c>
      <c r="F74" s="13" t="n">
        <v>0.03</v>
      </c>
      <c r="G74" s="13" t="n">
        <v>0.031</v>
      </c>
      <c r="H74" s="13" t="n">
        <v>0.031</v>
      </c>
      <c r="I74" s="2" t="n"/>
      <c r="J74" s="2" t="n"/>
      <c r="K74" s="2" t="n"/>
      <c r="L74" s="2" t="n"/>
    </row>
    <row r="75">
      <c r="A75" s="8" t="inlineStr">
        <is>
          <t>Capex (% ingresos)</t>
        </is>
      </c>
      <c r="B75" s="2" t="n"/>
      <c r="C75" s="2" t="n"/>
      <c r="D75" s="13" t="n">
        <v>0.045</v>
      </c>
      <c r="E75" s="13" t="n">
        <v>0.044</v>
      </c>
      <c r="F75" s="13" t="n">
        <v>0.043</v>
      </c>
      <c r="G75" s="13" t="n">
        <v>0.042</v>
      </c>
      <c r="H75" s="13" t="n">
        <v>0.041</v>
      </c>
      <c r="I75" s="2" t="n"/>
      <c r="J75" s="2" t="n"/>
      <c r="K75" s="2" t="n"/>
      <c r="L75" s="2" t="n"/>
    </row>
    <row r="76">
      <c r="A76" s="8" t="inlineStr">
        <is>
          <t>Dias de cuentas por cobrar (DSO)</t>
        </is>
      </c>
      <c r="B76" s="2" t="n"/>
      <c r="C76" s="2" t="n"/>
      <c r="D76" s="14" t="n">
        <v>5</v>
      </c>
      <c r="E76" s="14" t="n">
        <v>5</v>
      </c>
      <c r="F76" s="14" t="n">
        <v>5</v>
      </c>
      <c r="G76" s="14" t="n">
        <v>5</v>
      </c>
      <c r="H76" s="14" t="n">
        <v>5</v>
      </c>
      <c r="I76" s="2" t="n"/>
      <c r="J76" s="2" t="n"/>
      <c r="K76" s="2" t="n"/>
      <c r="L76" s="2" t="n"/>
    </row>
    <row r="77">
      <c r="A77" s="8" t="inlineStr">
        <is>
          <t>Dias de inventario (DIO)</t>
        </is>
      </c>
      <c r="B77" s="2" t="n"/>
      <c r="C77" s="2" t="n"/>
      <c r="D77" s="14" t="n">
        <v>13</v>
      </c>
      <c r="E77" s="14" t="n">
        <v>13</v>
      </c>
      <c r="F77" s="14" t="n">
        <v>13</v>
      </c>
      <c r="G77" s="14" t="n">
        <v>13</v>
      </c>
      <c r="H77" s="14" t="n">
        <v>13</v>
      </c>
      <c r="I77" s="2" t="n"/>
      <c r="J77" s="2" t="n"/>
      <c r="K77" s="2" t="n"/>
      <c r="L77" s="2" t="n"/>
    </row>
    <row r="78">
      <c r="A78" s="8" t="inlineStr">
        <is>
          <t>Dias de cuentas por pagar (DPO)</t>
        </is>
      </c>
      <c r="B78" s="2" t="n"/>
      <c r="C78" s="2" t="n"/>
      <c r="D78" s="14" t="n">
        <v>100</v>
      </c>
      <c r="E78" s="14" t="n">
        <v>100</v>
      </c>
      <c r="F78" s="14" t="n">
        <v>100</v>
      </c>
      <c r="G78" s="14" t="n">
        <v>100</v>
      </c>
      <c r="H78" s="14" t="n">
        <v>100</v>
      </c>
      <c r="I78" s="2" t="n"/>
      <c r="J78" s="2" t="n"/>
      <c r="K78" s="2" t="n"/>
      <c r="L78" s="2" t="n"/>
    </row>
    <row r="79">
      <c r="A79" s="8" t="inlineStr">
        <is>
          <t>Variacion deuda financiera total (%)</t>
        </is>
      </c>
      <c r="B79" s="2" t="n"/>
      <c r="C79" s="2" t="n"/>
      <c r="D79" s="13" t="n">
        <v>0.05</v>
      </c>
      <c r="E79" s="13" t="n">
        <v>0.05</v>
      </c>
      <c r="F79" s="13" t="n">
        <v>0.04</v>
      </c>
      <c r="G79" s="13" t="n">
        <v>0.04</v>
      </c>
      <c r="H79" s="13" t="n">
        <v>0.03</v>
      </c>
      <c r="I79" s="2" t="n"/>
      <c r="J79" s="2" t="n"/>
      <c r="K79" s="2" t="n"/>
      <c r="L79" s="2" t="n"/>
    </row>
    <row r="80">
      <c r="A80" s="8" t="inlineStr">
        <is>
          <t>Crecimiento fintech neto (%)</t>
        </is>
      </c>
      <c r="B80" s="2" t="n"/>
      <c r="C80" s="2" t="n"/>
      <c r="D80" s="13" t="n">
        <v>0.28</v>
      </c>
      <c r="E80" s="13" t="n">
        <v>0.23</v>
      </c>
      <c r="F80" s="13" t="n">
        <v>0.19</v>
      </c>
      <c r="G80" s="13" t="n">
        <v>0.16</v>
      </c>
      <c r="H80" s="13" t="n">
        <v>0.14</v>
      </c>
      <c r="I80" s="2" t="n"/>
      <c r="J80" s="2" t="n"/>
      <c r="K80" s="2" t="n"/>
      <c r="L80" s="2" t="n"/>
    </row>
    <row r="81">
      <c r="A81" s="8" t="inlineStr">
        <is>
          <t>Crecimiento inversiones CP+LP (%)</t>
        </is>
      </c>
      <c r="B81" s="2" t="n"/>
      <c r="C81" s="2" t="n"/>
      <c r="D81" s="13" t="n">
        <v>0.1</v>
      </c>
      <c r="E81" s="13" t="n">
        <v>0.1</v>
      </c>
      <c r="F81" s="13" t="n">
        <v>0.08</v>
      </c>
      <c r="G81" s="13" t="n">
        <v>0.08</v>
      </c>
      <c r="H81" s="13" t="n">
        <v>0.06</v>
      </c>
      <c r="I81" s="2" t="n"/>
      <c r="J81" s="2" t="n"/>
      <c r="K81" s="2" t="n"/>
      <c r="L81" s="2" t="n"/>
    </row>
    <row r="82">
      <c r="A82" s="8" t="inlineStr">
        <is>
          <t>Crecimiento otros activos/pasivos (%)</t>
        </is>
      </c>
      <c r="B82" s="2" t="n"/>
      <c r="C82" s="2" t="n"/>
      <c r="D82" s="13" t="n">
        <v>0.15</v>
      </c>
      <c r="E82" s="13" t="n">
        <v>0.12</v>
      </c>
      <c r="F82" s="13" t="n">
        <v>0.1</v>
      </c>
      <c r="G82" s="13" t="n">
        <v>0.08</v>
      </c>
      <c r="H82" s="13" t="n">
        <v>0.07000000000000001</v>
      </c>
      <c r="I82" s="2" t="n"/>
      <c r="J82" s="2" t="n"/>
      <c r="K82" s="2" t="n"/>
      <c r="L82" s="2" t="n"/>
    </row>
    <row r="83">
      <c r="A83" s="2" t="n"/>
      <c r="B83" s="2" t="n"/>
      <c r="C83" s="2" t="n"/>
      <c r="D83" s="2" t="n"/>
      <c r="E83" s="2" t="n"/>
      <c r="F83" s="2" t="n"/>
      <c r="G83" s="2" t="n"/>
      <c r="H83" s="2" t="n"/>
      <c r="I83" s="2" t="n"/>
      <c r="J83" s="2" t="n"/>
      <c r="K83" s="2" t="n"/>
      <c r="L83" s="2" t="n"/>
    </row>
    <row r="84">
      <c r="A84" s="2" t="n"/>
      <c r="B84" s="2" t="n"/>
      <c r="C84" s="2" t="n"/>
      <c r="D84" s="2" t="n"/>
      <c r="E84" s="2" t="n"/>
      <c r="F84" s="2" t="n"/>
      <c r="G84" s="2" t="n"/>
      <c r="H84" s="2" t="n"/>
      <c r="I84" s="2" t="n"/>
      <c r="J84" s="2" t="n"/>
      <c r="K84" s="2" t="n"/>
      <c r="L84" s="2" t="n"/>
    </row>
    <row r="85">
      <c r="A85" s="2" t="n"/>
      <c r="B85" s="2" t="n"/>
      <c r="C85" s="2" t="n"/>
      <c r="D85" s="2" t="n"/>
      <c r="E85" s="2" t="n"/>
      <c r="F85" s="2" t="n"/>
      <c r="G85" s="2" t="n"/>
      <c r="H85" s="2" t="n"/>
      <c r="I85" s="2" t="n"/>
      <c r="J85" s="2" t="n"/>
      <c r="K85" s="2" t="n"/>
      <c r="L85" s="2" t="n"/>
    </row>
    <row r="86">
      <c r="A86" s="2" t="n"/>
      <c r="B86" s="2" t="n"/>
      <c r="C86" s="2" t="n"/>
      <c r="D86" s="2" t="n"/>
      <c r="E86" s="2" t="n"/>
      <c r="F86" s="2" t="n"/>
      <c r="G86" s="2" t="n"/>
      <c r="H86" s="2" t="n"/>
      <c r="I86" s="2" t="n"/>
      <c r="J86" s="2" t="n"/>
      <c r="K86" s="2" t="n"/>
      <c r="L86" s="2" t="n"/>
    </row>
    <row r="87">
      <c r="A87" s="2" t="n"/>
      <c r="B87" s="2" t="n"/>
      <c r="C87" s="2" t="n"/>
      <c r="D87" s="2" t="n"/>
      <c r="E87" s="2" t="n"/>
      <c r="F87" s="2" t="n"/>
      <c r="G87" s="2" t="n"/>
      <c r="H87" s="2" t="n"/>
      <c r="I87" s="2" t="n"/>
      <c r="J87" s="2" t="n"/>
      <c r="K87" s="2" t="n"/>
      <c r="L87" s="2" t="n"/>
    </row>
    <row r="88">
      <c r="A88" s="2" t="n"/>
      <c r="B88" s="2" t="n"/>
      <c r="C88" s="2" t="n"/>
      <c r="D88" s="2" t="n"/>
      <c r="E88" s="2" t="n"/>
      <c r="F88" s="2" t="n"/>
      <c r="G88" s="2" t="n"/>
      <c r="H88" s="2" t="n"/>
      <c r="I88" s="2" t="n"/>
      <c r="J88" s="2" t="n"/>
      <c r="K88" s="2" t="n"/>
      <c r="L88" s="2" t="n"/>
    </row>
    <row r="89">
      <c r="A89" s="2" t="n"/>
      <c r="B89" s="2" t="n"/>
      <c r="C89" s="2" t="n"/>
      <c r="D89" s="2" t="n"/>
      <c r="E89" s="2" t="n"/>
      <c r="F89" s="2" t="n"/>
      <c r="G89" s="2" t="n"/>
      <c r="H89" s="2" t="n"/>
      <c r="I89" s="2" t="n"/>
      <c r="J89" s="2" t="n"/>
      <c r="K89" s="2" t="n"/>
      <c r="L89" s="2" t="n"/>
    </row>
    <row r="90">
      <c r="A90" s="2" t="n"/>
      <c r="B90" s="2" t="n"/>
      <c r="C90" s="2" t="n"/>
      <c r="D90" s="2" t="n"/>
      <c r="E90" s="2" t="n"/>
      <c r="F90" s="2" t="n"/>
      <c r="G90" s="2" t="n"/>
      <c r="H90" s="2" t="n"/>
      <c r="I90" s="2" t="n"/>
      <c r="J90" s="2" t="n"/>
      <c r="K90" s="2" t="n"/>
      <c r="L90" s="2" t="n"/>
    </row>
    <row r="91">
      <c r="A91" s="2" t="n"/>
      <c r="B91" s="2" t="n"/>
      <c r="C91" s="2" t="n"/>
      <c r="D91" s="2" t="n"/>
      <c r="E91" s="2" t="n"/>
      <c r="F91" s="2" t="n"/>
      <c r="G91" s="2" t="n"/>
      <c r="H91" s="2" t="n"/>
      <c r="I91" s="2" t="n"/>
      <c r="J91" s="2" t="n"/>
      <c r="K91" s="2" t="n"/>
      <c r="L91" s="2" t="n"/>
    </row>
    <row r="92">
      <c r="A92" s="2" t="n"/>
      <c r="B92" s="2" t="n"/>
      <c r="C92" s="2" t="n"/>
      <c r="D92" s="2" t="n"/>
      <c r="E92" s="2" t="n"/>
      <c r="F92" s="2" t="n"/>
      <c r="G92" s="2" t="n"/>
      <c r="H92" s="2" t="n"/>
      <c r="I92" s="2" t="n"/>
      <c r="J92" s="2" t="n"/>
      <c r="K92" s="2" t="n"/>
      <c r="L92" s="2" t="n"/>
    </row>
    <row r="93">
      <c r="A93" s="2" t="n"/>
      <c r="B93" s="2" t="n"/>
      <c r="C93" s="2" t="n"/>
      <c r="D93" s="2" t="n"/>
      <c r="E93" s="2" t="n"/>
      <c r="F93" s="2" t="n"/>
      <c r="G93" s="2" t="n"/>
      <c r="H93" s="2" t="n"/>
      <c r="I93" s="2" t="n"/>
      <c r="J93" s="2" t="n"/>
      <c r="K93" s="2" t="n"/>
      <c r="L93" s="2" t="n"/>
    </row>
    <row r="94">
      <c r="A94" s="2" t="n"/>
      <c r="B94" s="2" t="n"/>
      <c r="C94" s="2" t="n"/>
      <c r="D94" s="2" t="n"/>
      <c r="E94" s="2" t="n"/>
      <c r="F94" s="2" t="n"/>
      <c r="G94" s="2" t="n"/>
      <c r="H94" s="2" t="n"/>
      <c r="I94" s="2" t="n"/>
      <c r="J94" s="2" t="n"/>
      <c r="K94" s="2" t="n"/>
      <c r="L94" s="2" t="n"/>
    </row>
    <row r="95">
      <c r="A95" s="2" t="n"/>
      <c r="B95" s="2" t="n"/>
      <c r="C95" s="2" t="n"/>
      <c r="D95" s="2" t="n"/>
      <c r="E95" s="2" t="n"/>
      <c r="F95" s="2" t="n"/>
      <c r="G95" s="2" t="n"/>
      <c r="H95" s="2" t="n"/>
      <c r="I95" s="2" t="n"/>
      <c r="J95" s="2" t="n"/>
      <c r="K95" s="2" t="n"/>
      <c r="L95" s="2" t="n"/>
    </row>
    <row r="96">
      <c r="A96" s="2" t="n"/>
      <c r="B96" s="2" t="n"/>
      <c r="C96" s="2" t="n"/>
      <c r="D96" s="2" t="n"/>
      <c r="E96" s="2" t="n"/>
      <c r="F96" s="2" t="n"/>
      <c r="G96" s="2" t="n"/>
      <c r="H96" s="2" t="n"/>
      <c r="I96" s="2" t="n"/>
      <c r="J96" s="2" t="n"/>
      <c r="K96" s="2" t="n"/>
      <c r="L96" s="2" t="n"/>
    </row>
    <row r="97">
      <c r="A97" s="2" t="n"/>
      <c r="B97" s="2" t="n"/>
      <c r="C97" s="2" t="n"/>
      <c r="D97" s="2" t="n"/>
      <c r="E97" s="2" t="n"/>
      <c r="F97" s="2" t="n"/>
      <c r="G97" s="2" t="n"/>
      <c r="H97" s="2" t="n"/>
      <c r="I97" s="2" t="n"/>
      <c r="J97" s="2" t="n"/>
      <c r="K97" s="2" t="n"/>
      <c r="L97" s="2" t="n"/>
    </row>
    <row r="98">
      <c r="A98" s="2" t="n"/>
      <c r="B98" s="2" t="n"/>
      <c r="C98" s="2" t="n"/>
      <c r="D98" s="2" t="n"/>
      <c r="E98" s="2" t="n"/>
      <c r="F98" s="2" t="n"/>
      <c r="G98" s="2" t="n"/>
      <c r="H98" s="2" t="n"/>
      <c r="I98" s="2" t="n"/>
      <c r="J98" s="2" t="n"/>
      <c r="K98" s="2" t="n"/>
      <c r="L98" s="2" t="n"/>
    </row>
    <row r="99">
      <c r="A99" s="2" t="n"/>
      <c r="B99" s="2" t="n"/>
      <c r="C99" s="2" t="n"/>
      <c r="D99" s="2" t="n"/>
      <c r="E99" s="2" t="n"/>
      <c r="F99" s="2" t="n"/>
      <c r="G99" s="2" t="n"/>
      <c r="H99" s="2" t="n"/>
      <c r="I99" s="2" t="n"/>
      <c r="J99" s="2" t="n"/>
      <c r="K99" s="2" t="n"/>
      <c r="L99" s="2" t="n"/>
    </row>
    <row r="100">
      <c r="A100" s="2" t="n"/>
      <c r="B100" s="2" t="n"/>
      <c r="C100" s="2" t="n"/>
      <c r="D100" s="2" t="n"/>
      <c r="E100" s="2" t="n"/>
      <c r="F100" s="2" t="n"/>
      <c r="G100" s="2" t="n"/>
      <c r="H100" s="2" t="n"/>
      <c r="I100" s="2" t="n"/>
      <c r="J100" s="2" t="n"/>
      <c r="K100" s="2" t="n"/>
      <c r="L100" s="2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2">
    <tabColor rgb="FF46C8F5"/>
    <outlinePr summaryBelow="1" summaryRight="1"/>
    <pageSetUpPr/>
  </sheetPr>
  <dimension ref="A1:L100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1" sqref="A1"/>
    </sheetView>
  </sheetViews>
  <sheetFormatPr baseColWidth="10" defaultColWidth="8.7109375" defaultRowHeight="15"/>
  <cols>
    <col width="32" customWidth="1" min="1" max="1"/>
    <col width="12" customWidth="1" min="2" max="8"/>
  </cols>
  <sheetData>
    <row r="1" ht="21.75" customHeight="1">
      <c r="A1" s="1" t="inlineStr">
        <is>
          <t>ESTADO DE RESULTADOS - MELI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</row>
    <row r="2" ht="13.5" customHeight="1">
      <c r="A2" s="3" t="inlineStr">
        <is>
          <t>USD millones - Historico vinculado a Supuestos - Proyeccion escrita por VBA</t>
        </is>
      </c>
      <c r="B2" s="2" t="n"/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</row>
    <row r="4">
      <c r="A4" s="6" t="inlineStr">
        <is>
          <t>Concepto</t>
        </is>
      </c>
      <c r="B4" s="7" t="inlineStr">
        <is>
          <t>FY2024</t>
        </is>
      </c>
      <c r="C4" s="7" t="inlineStr">
        <is>
          <t>FY2025</t>
        </is>
      </c>
      <c r="D4" s="7" t="inlineStr">
        <is>
          <t>FY2026E</t>
        </is>
      </c>
      <c r="E4" s="7" t="inlineStr">
        <is>
          <t>FY2027E</t>
        </is>
      </c>
      <c r="F4" s="7" t="inlineStr">
        <is>
          <t>FY2028E</t>
        </is>
      </c>
      <c r="G4" s="7" t="inlineStr">
        <is>
          <t>FY2029E</t>
        </is>
      </c>
      <c r="H4" s="7" t="inlineStr">
        <is>
          <t>FY2030E</t>
        </is>
      </c>
      <c r="I4" s="2" t="n"/>
      <c r="J4" s="2" t="n"/>
      <c r="K4" s="2" t="n"/>
      <c r="L4" s="2" t="n"/>
    </row>
    <row r="5">
      <c r="A5" s="8" t="inlineStr">
        <is>
          <t>Ingresos netos</t>
        </is>
      </c>
      <c r="B5" s="9">
        <f>Supuestos!B6</f>
        <v/>
      </c>
      <c r="C5" s="9">
        <f>Supuestos!C6</f>
        <v/>
      </c>
      <c r="D5" s="9" t="n">
        <v>36983.04</v>
      </c>
      <c r="E5" s="9" t="n">
        <v>45489.13920000001</v>
      </c>
      <c r="F5" s="9" t="n">
        <v>54132.07564800001</v>
      </c>
      <c r="G5" s="9" t="n">
        <v>62793.20775168001</v>
      </c>
      <c r="H5" s="9" t="n">
        <v>71584.25683691521</v>
      </c>
      <c r="I5" s="2" t="n"/>
      <c r="J5" s="2" t="n"/>
      <c r="K5" s="2" t="n"/>
      <c r="L5" s="2" t="n"/>
    </row>
    <row r="6">
      <c r="A6" s="8" t="inlineStr">
        <is>
          <t>Costo de ingresos</t>
        </is>
      </c>
      <c r="B6" s="9">
        <f>Supuestos!B7</f>
        <v/>
      </c>
      <c r="C6" s="9">
        <f>Supuestos!C7</f>
        <v/>
      </c>
      <c r="D6" s="9" t="n">
        <v>-20525.5872</v>
      </c>
      <c r="E6" s="9" t="n">
        <v>-25155.4939776</v>
      </c>
      <c r="F6" s="9" t="n">
        <v>-29772.6416064</v>
      </c>
      <c r="G6" s="9" t="n">
        <v>-34410.67784792064</v>
      </c>
      <c r="H6" s="9" t="n">
        <v>-39013.41997611879</v>
      </c>
      <c r="I6" s="2" t="n"/>
      <c r="J6" s="2" t="n"/>
      <c r="K6" s="2" t="n"/>
      <c r="L6" s="2" t="n"/>
    </row>
    <row r="7">
      <c r="A7" s="10" t="inlineStr">
        <is>
          <t>Utilidad bruta</t>
        </is>
      </c>
      <c r="B7" s="11">
        <f>Supuestos!B8</f>
        <v/>
      </c>
      <c r="C7" s="11">
        <f>Supuestos!C8</f>
        <v/>
      </c>
      <c r="D7" s="11" t="n">
        <v>16457.4528</v>
      </c>
      <c r="E7" s="11" t="n">
        <v>20333.6452224</v>
      </c>
      <c r="F7" s="11" t="n">
        <v>24359.4340416</v>
      </c>
      <c r="G7" s="11" t="n">
        <v>28382.52990375936</v>
      </c>
      <c r="H7" s="11" t="n">
        <v>32570.83686079642</v>
      </c>
      <c r="I7" s="2" t="n"/>
      <c r="J7" s="2" t="n"/>
      <c r="K7" s="2" t="n"/>
      <c r="L7" s="2" t="n"/>
    </row>
    <row r="8">
      <c r="A8" s="8" t="inlineStr">
        <is>
          <t>Product &amp; tech development</t>
        </is>
      </c>
      <c r="B8" s="9">
        <f>Supuestos!B9</f>
        <v/>
      </c>
      <c r="C8" s="9">
        <f>Supuestos!C9</f>
        <v/>
      </c>
      <c r="D8" s="9" t="n">
        <v>-2884.67712</v>
      </c>
      <c r="E8" s="9" t="n">
        <v>-3502.663718400001</v>
      </c>
      <c r="F8" s="9" t="n">
        <v>-4114.037749248</v>
      </c>
      <c r="G8" s="9" t="n">
        <v>-4709.490581376001</v>
      </c>
      <c r="H8" s="9" t="n">
        <v>-5297.235005931726</v>
      </c>
      <c r="I8" s="2" t="n"/>
      <c r="J8" s="2" t="n"/>
      <c r="K8" s="2" t="n"/>
      <c r="L8" s="2" t="n"/>
    </row>
    <row r="9">
      <c r="A9" s="8" t="inlineStr">
        <is>
          <t>Sales &amp; marketing</t>
        </is>
      </c>
      <c r="B9" s="9">
        <f>Supuestos!B10</f>
        <v/>
      </c>
      <c r="C9" s="9">
        <f>Supuestos!C10</f>
        <v/>
      </c>
      <c r="D9" s="9" t="n">
        <v>-4068.1344</v>
      </c>
      <c r="E9" s="9" t="n">
        <v>-4912.827033600001</v>
      </c>
      <c r="F9" s="9" t="n">
        <v>-5738.000018688001</v>
      </c>
      <c r="G9" s="9" t="n">
        <v>-6530.49360617472</v>
      </c>
      <c r="H9" s="9" t="n">
        <v>-7301.594197365352</v>
      </c>
      <c r="I9" s="2" t="n"/>
      <c r="J9" s="2" t="n"/>
      <c r="K9" s="2" t="n"/>
      <c r="L9" s="2" t="n"/>
    </row>
    <row r="10">
      <c r="A10" s="8" t="inlineStr">
        <is>
          <t>Provision incobrables</t>
        </is>
      </c>
      <c r="B10" s="9">
        <f>Supuestos!B11</f>
        <v/>
      </c>
      <c r="C10" s="9">
        <f>Supuestos!C11</f>
        <v/>
      </c>
      <c r="D10" s="9" t="n">
        <v>-3883.2192</v>
      </c>
      <c r="E10" s="9" t="n">
        <v>-4685.3813376</v>
      </c>
      <c r="F10" s="9" t="n">
        <v>-5467.339640448001</v>
      </c>
      <c r="G10" s="9" t="n">
        <v>-6216.52756741632</v>
      </c>
      <c r="H10" s="9" t="n">
        <v>-6943.672913180776</v>
      </c>
      <c r="I10" s="2" t="n"/>
      <c r="J10" s="2" t="n"/>
      <c r="K10" s="2" t="n"/>
      <c r="L10" s="2" t="n"/>
    </row>
    <row r="11">
      <c r="A11" s="8" t="inlineStr">
        <is>
          <t>G&amp;A</t>
        </is>
      </c>
      <c r="B11" s="9">
        <f>Supuestos!B12</f>
        <v/>
      </c>
      <c r="C11" s="9">
        <f>Supuestos!C12</f>
        <v/>
      </c>
      <c r="D11" s="9" t="n">
        <v>-1331.38944</v>
      </c>
      <c r="E11" s="9" t="n">
        <v>-1592.119872</v>
      </c>
      <c r="F11" s="9" t="n">
        <v>-1840.490572032</v>
      </c>
      <c r="G11" s="9" t="n">
        <v>-2072.17585580544</v>
      </c>
      <c r="H11" s="9" t="n">
        <v>-2290.696218781287</v>
      </c>
      <c r="I11" s="2" t="n"/>
      <c r="J11" s="2" t="n"/>
      <c r="K11" s="2" t="n"/>
      <c r="L11" s="2" t="n"/>
    </row>
    <row r="12">
      <c r="A12" s="10" t="inlineStr">
        <is>
          <t>Total opex</t>
        </is>
      </c>
      <c r="B12" s="11">
        <f>Supuestos!B13</f>
        <v/>
      </c>
      <c r="C12" s="11">
        <f>Supuestos!C13</f>
        <v/>
      </c>
      <c r="D12" s="11" t="n">
        <v>-12167.42016</v>
      </c>
      <c r="E12" s="11" t="n">
        <v>-14692.9919616</v>
      </c>
      <c r="F12" s="11" t="n">
        <v>-17159.867980416</v>
      </c>
      <c r="G12" s="11" t="n">
        <v>-19528.68761077248</v>
      </c>
      <c r="H12" s="11" t="n">
        <v>-21833.19833525914</v>
      </c>
      <c r="I12" s="2" t="n"/>
      <c r="J12" s="2" t="n"/>
      <c r="K12" s="2" t="n"/>
      <c r="L12" s="2" t="n"/>
    </row>
    <row r="13">
      <c r="A13" s="10" t="inlineStr">
        <is>
          <t>Resultado operativo</t>
        </is>
      </c>
      <c r="B13" s="11">
        <f>Supuestos!B14</f>
        <v/>
      </c>
      <c r="C13" s="11">
        <f>Supuestos!C14</f>
        <v/>
      </c>
      <c r="D13" s="11" t="n">
        <v>4290.032639999999</v>
      </c>
      <c r="E13" s="11" t="n">
        <v>5640.653260800002</v>
      </c>
      <c r="F13" s="11" t="n">
        <v>7199.566061183999</v>
      </c>
      <c r="G13" s="11" t="n">
        <v>8853.842292986883</v>
      </c>
      <c r="H13" s="11" t="n">
        <v>10737.63852553728</v>
      </c>
      <c r="I13" s="2" t="n"/>
      <c r="J13" s="2" t="n"/>
      <c r="K13" s="2" t="n"/>
      <c r="L13" s="2" t="n"/>
    </row>
    <row r="14">
      <c r="A14" s="8" t="inlineStr">
        <is>
          <t>Ingresos financieros</t>
        </is>
      </c>
      <c r="B14" s="9">
        <f>Supuestos!B15</f>
        <v/>
      </c>
      <c r="C14" s="9">
        <f>Supuestos!C15</f>
        <v/>
      </c>
      <c r="D14" s="9" t="n">
        <v>322.52</v>
      </c>
      <c r="E14" s="9" t="n">
        <v>325.4856271364383</v>
      </c>
      <c r="F14" s="9" t="n">
        <v>366.9479245327737</v>
      </c>
      <c r="G14" s="9" t="n">
        <v>445.7721519605232</v>
      </c>
      <c r="H14" s="9" t="n">
        <v>574.4414336545317</v>
      </c>
      <c r="I14" s="2" t="n"/>
      <c r="J14" s="2" t="n"/>
      <c r="K14" s="2" t="n"/>
      <c r="L14" s="2" t="n"/>
    </row>
    <row r="15">
      <c r="A15" s="8" t="inlineStr">
        <is>
          <t>Gastos financieros</t>
        </is>
      </c>
      <c r="B15" s="9">
        <f>Supuestos!B16</f>
        <v/>
      </c>
      <c r="C15" s="9">
        <f>Supuestos!C16</f>
        <v/>
      </c>
      <c r="D15" s="9" t="n">
        <v>-413.685</v>
      </c>
      <c r="E15" s="9" t="n">
        <v>-434.36925</v>
      </c>
      <c r="F15" s="9" t="n">
        <v>-456.0877125</v>
      </c>
      <c r="G15" s="9" t="n">
        <v>-474.3312209999999</v>
      </c>
      <c r="H15" s="9" t="n">
        <v>-493.30446984</v>
      </c>
      <c r="I15" s="2" t="n"/>
      <c r="J15" s="2" t="n"/>
      <c r="K15" s="2" t="n"/>
      <c r="L15" s="2" t="n"/>
    </row>
    <row r="16">
      <c r="A16" s="8" t="inlineStr">
        <is>
          <t>Dif. de cambio, neta</t>
        </is>
      </c>
      <c r="B16" s="9">
        <f>Supuestos!B17</f>
        <v/>
      </c>
      <c r="C16" s="9">
        <f>Supuestos!C17</f>
        <v/>
      </c>
      <c r="D16" s="9" t="n">
        <v>-369.8304</v>
      </c>
      <c r="E16" s="9" t="n">
        <v>-409.4022528</v>
      </c>
      <c r="F16" s="9" t="n">
        <v>-433.056605184</v>
      </c>
      <c r="G16" s="9" t="n">
        <v>-502.3456620134401</v>
      </c>
      <c r="H16" s="9" t="n">
        <v>-501.0897978584065</v>
      </c>
      <c r="I16" s="2" t="n"/>
      <c r="J16" s="2" t="n"/>
      <c r="K16" s="2" t="n"/>
      <c r="L16" s="2" t="n"/>
    </row>
    <row r="17">
      <c r="A17" s="10" t="inlineStr">
        <is>
          <t>Resultado antes de impuestos</t>
        </is>
      </c>
      <c r="B17" s="11">
        <f>Supuestos!B18</f>
        <v/>
      </c>
      <c r="C17" s="11">
        <f>Supuestos!C18</f>
        <v/>
      </c>
      <c r="D17" s="11" t="n">
        <v>3829.03724</v>
      </c>
      <c r="E17" s="11" t="n">
        <v>5122.36738513644</v>
      </c>
      <c r="F17" s="11" t="n">
        <v>6677.369668032773</v>
      </c>
      <c r="G17" s="11" t="n">
        <v>8322.937561933966</v>
      </c>
      <c r="H17" s="11" t="n">
        <v>10317.68569149341</v>
      </c>
      <c r="I17" s="2" t="n"/>
      <c r="J17" s="2" t="n"/>
      <c r="K17" s="2" t="n"/>
      <c r="L17" s="2" t="n"/>
    </row>
    <row r="18">
      <c r="A18" s="8" t="inlineStr">
        <is>
          <t>Impuesto a las ganancias</t>
        </is>
      </c>
      <c r="B18" s="9">
        <f>Supuestos!B19</f>
        <v/>
      </c>
      <c r="C18" s="9">
        <f>Supuestos!C19</f>
        <v/>
      </c>
      <c r="D18" s="9" t="n">
        <v>-1148.711172</v>
      </c>
      <c r="E18" s="9" t="n">
        <v>-1536.710215540932</v>
      </c>
      <c r="F18" s="9" t="n">
        <v>-2003.210900409832</v>
      </c>
      <c r="G18" s="9" t="n">
        <v>-2496.88126858019</v>
      </c>
      <c r="H18" s="9" t="n">
        <v>-3095.305707448022</v>
      </c>
      <c r="I18" s="2" t="n"/>
      <c r="J18" s="2" t="n"/>
      <c r="K18" s="2" t="n"/>
      <c r="L18" s="2" t="n"/>
    </row>
    <row r="19">
      <c r="A19" s="10" t="inlineStr">
        <is>
          <t>Ganancia neta</t>
        </is>
      </c>
      <c r="B19" s="11">
        <f>Supuestos!B20</f>
        <v/>
      </c>
      <c r="C19" s="11">
        <f>Supuestos!C20</f>
        <v/>
      </c>
      <c r="D19" s="11" t="n">
        <v>2680.326068</v>
      </c>
      <c r="E19" s="11" t="n">
        <v>3585.657169595508</v>
      </c>
      <c r="F19" s="11" t="n">
        <v>4674.158767622941</v>
      </c>
      <c r="G19" s="11" t="n">
        <v>5826.056293353777</v>
      </c>
      <c r="H19" s="11" t="n">
        <v>7222.379984045383</v>
      </c>
      <c r="I19" s="2" t="n"/>
      <c r="J19" s="2" t="n"/>
      <c r="K19" s="2" t="n"/>
      <c r="L19" s="2" t="n"/>
    </row>
    <row r="20">
      <c r="A20" s="2" t="n"/>
      <c r="B20" s="2" t="n"/>
      <c r="C20" s="2" t="n"/>
      <c r="D20" s="2" t="n"/>
      <c r="E20" s="2" t="n"/>
      <c r="F20" s="2" t="n"/>
      <c r="G20" s="2" t="n"/>
      <c r="H20" s="2" t="n"/>
      <c r="I20" s="2" t="n"/>
      <c r="J20" s="2" t="n"/>
      <c r="K20" s="2" t="n"/>
      <c r="L20" s="2" t="n"/>
    </row>
    <row r="21">
      <c r="A21" s="8" t="inlineStr">
        <is>
          <t>Margen bruto (%)</t>
        </is>
      </c>
      <c r="B21" s="15">
        <f>B7/B5</f>
        <v/>
      </c>
      <c r="C21" s="15">
        <f>C7/C5</f>
        <v/>
      </c>
      <c r="D21" s="15" t="n">
        <v>0.445</v>
      </c>
      <c r="E21" s="15" t="n">
        <v>0.447</v>
      </c>
      <c r="F21" s="15" t="n">
        <v>0.45</v>
      </c>
      <c r="G21" s="15" t="n">
        <v>0.452</v>
      </c>
      <c r="H21" s="15" t="n">
        <v>0.455</v>
      </c>
      <c r="I21" s="2" t="n"/>
      <c r="J21" s="2" t="n"/>
      <c r="K21" s="2" t="n"/>
      <c r="L21" s="2" t="n"/>
    </row>
    <row r="22">
      <c r="A22" s="8" t="inlineStr">
        <is>
          <t>Margen operativo (%)</t>
        </is>
      </c>
      <c r="B22" s="15">
        <f>B13/B5</f>
        <v/>
      </c>
      <c r="C22" s="15">
        <f>C13/C5</f>
        <v/>
      </c>
      <c r="D22" s="15" t="n">
        <v>0.116</v>
      </c>
      <c r="E22" s="15" t="n">
        <v>0.124</v>
      </c>
      <c r="F22" s="15" t="n">
        <v>0.133</v>
      </c>
      <c r="G22" s="15" t="n">
        <v>0.141</v>
      </c>
      <c r="H22" s="15" t="n">
        <v>0.15</v>
      </c>
      <c r="I22" s="2" t="n"/>
      <c r="J22" s="2" t="n"/>
      <c r="K22" s="2" t="n"/>
      <c r="L22" s="2" t="n"/>
    </row>
    <row r="23">
      <c r="A23" s="8" t="inlineStr">
        <is>
          <t>Margen neto (%)</t>
        </is>
      </c>
      <c r="B23" s="15">
        <f>B19/B5</f>
        <v/>
      </c>
      <c r="C23" s="15">
        <f>C19/C5</f>
        <v/>
      </c>
      <c r="D23" s="15" t="n">
        <v>0.07247446580919253</v>
      </c>
      <c r="E23" s="15" t="n">
        <v>0.07882446739276851</v>
      </c>
      <c r="F23" s="15" t="n">
        <v>0.08634730354729406</v>
      </c>
      <c r="G23" s="15" t="n">
        <v>0.09278163199423274</v>
      </c>
      <c r="H23" s="15" t="n">
        <v>0.1008934129259673</v>
      </c>
      <c r="I23" s="2" t="n"/>
      <c r="J23" s="2" t="n"/>
      <c r="K23" s="2" t="n"/>
      <c r="L23" s="2" t="n"/>
    </row>
    <row r="24">
      <c r="A24" s="2" t="n"/>
      <c r="B24" s="2" t="n"/>
      <c r="C24" s="2" t="n"/>
      <c r="D24" s="2" t="n"/>
      <c r="E24" s="2" t="n"/>
      <c r="F24" s="2" t="n"/>
      <c r="G24" s="2" t="n"/>
      <c r="H24" s="2" t="n"/>
      <c r="I24" s="2" t="n"/>
      <c r="J24" s="2" t="n"/>
      <c r="K24" s="2" t="n"/>
      <c r="L24" s="2" t="n"/>
    </row>
    <row r="25">
      <c r="A25" s="2" t="n"/>
      <c r="B25" s="2" t="n"/>
      <c r="C25" s="2" t="n"/>
      <c r="D25" s="2" t="n"/>
      <c r="E25" s="2" t="n"/>
      <c r="F25" s="2" t="n"/>
      <c r="G25" s="2" t="n"/>
      <c r="H25" s="2" t="n"/>
      <c r="I25" s="2" t="n"/>
      <c r="J25" s="2" t="n"/>
      <c r="K25" s="2" t="n"/>
      <c r="L25" s="2" t="n"/>
    </row>
    <row r="26">
      <c r="A26" s="2" t="n"/>
      <c r="B26" s="2" t="n"/>
      <c r="C26" s="2" t="n"/>
      <c r="D26" s="2" t="n"/>
      <c r="E26" s="2" t="n"/>
      <c r="F26" s="2" t="n"/>
      <c r="G26" s="2" t="n"/>
      <c r="H26" s="2" t="n"/>
      <c r="I26" s="2" t="n"/>
      <c r="J26" s="2" t="n"/>
      <c r="K26" s="2" t="n"/>
      <c r="L26" s="2" t="n"/>
    </row>
    <row r="27">
      <c r="A27" s="2" t="n"/>
      <c r="B27" s="2" t="n"/>
      <c r="C27" s="2" t="n"/>
      <c r="D27" s="2" t="n"/>
      <c r="E27" s="2" t="n"/>
      <c r="F27" s="2" t="n"/>
      <c r="G27" s="2" t="n"/>
      <c r="H27" s="2" t="n"/>
      <c r="I27" s="2" t="n"/>
      <c r="J27" s="2" t="n"/>
      <c r="K27" s="2" t="n"/>
      <c r="L27" s="2" t="n"/>
    </row>
    <row r="28">
      <c r="A28" s="2" t="n"/>
      <c r="B28" s="2" t="n"/>
      <c r="C28" s="2" t="n"/>
      <c r="D28" s="2" t="n"/>
      <c r="E28" s="2" t="n"/>
      <c r="F28" s="2" t="n"/>
      <c r="G28" s="2" t="n"/>
      <c r="H28" s="2" t="n"/>
      <c r="I28" s="2" t="n"/>
      <c r="J28" s="2" t="n"/>
      <c r="K28" s="2" t="n"/>
      <c r="L28" s="2" t="n"/>
    </row>
    <row r="29">
      <c r="A29" s="2" t="n"/>
      <c r="B29" s="2" t="n"/>
      <c r="C29" s="2" t="n"/>
      <c r="D29" s="2" t="n"/>
      <c r="E29" s="2" t="n"/>
      <c r="F29" s="2" t="n"/>
      <c r="G29" s="2" t="n"/>
      <c r="H29" s="2" t="n"/>
      <c r="I29" s="2" t="n"/>
      <c r="J29" s="2" t="n"/>
      <c r="K29" s="2" t="n"/>
      <c r="L29" s="2" t="n"/>
    </row>
    <row r="30">
      <c r="A30" s="2" t="n"/>
      <c r="B30" s="2" t="n"/>
      <c r="C30" s="2" t="n"/>
      <c r="D30" s="2" t="n"/>
      <c r="E30" s="2" t="n"/>
      <c r="F30" s="2" t="n"/>
      <c r="G30" s="2" t="n"/>
      <c r="H30" s="2" t="n"/>
      <c r="I30" s="2" t="n"/>
      <c r="J30" s="2" t="n"/>
      <c r="K30" s="2" t="n"/>
      <c r="L30" s="2" t="n"/>
    </row>
    <row r="31">
      <c r="A31" s="2" t="n"/>
      <c r="B31" s="2" t="n"/>
      <c r="C31" s="2" t="n"/>
      <c r="D31" s="2" t="n"/>
      <c r="E31" s="2" t="n"/>
      <c r="F31" s="2" t="n"/>
      <c r="G31" s="2" t="n"/>
      <c r="H31" s="2" t="n"/>
      <c r="I31" s="2" t="n"/>
      <c r="J31" s="2" t="n"/>
      <c r="K31" s="2" t="n"/>
      <c r="L31" s="2" t="n"/>
    </row>
    <row r="32">
      <c r="A32" s="2" t="n"/>
      <c r="B32" s="2" t="n"/>
      <c r="C32" s="2" t="n"/>
      <c r="D32" s="2" t="n"/>
      <c r="E32" s="2" t="n"/>
      <c r="F32" s="2" t="n"/>
      <c r="G32" s="2" t="n"/>
      <c r="H32" s="2" t="n"/>
      <c r="I32" s="2" t="n"/>
      <c r="J32" s="2" t="n"/>
      <c r="K32" s="2" t="n"/>
      <c r="L32" s="2" t="n"/>
    </row>
    <row r="33">
      <c r="A33" s="2" t="n"/>
      <c r="B33" s="2" t="n"/>
      <c r="C33" s="2" t="n"/>
      <c r="D33" s="2" t="n"/>
      <c r="E33" s="2" t="n"/>
      <c r="F33" s="2" t="n"/>
      <c r="G33" s="2" t="n"/>
      <c r="H33" s="2" t="n"/>
      <c r="I33" s="2" t="n"/>
      <c r="J33" s="2" t="n"/>
      <c r="K33" s="2" t="n"/>
      <c r="L33" s="2" t="n"/>
    </row>
    <row r="34">
      <c r="A34" s="2" t="n"/>
      <c r="B34" s="2" t="n"/>
      <c r="C34" s="2" t="n"/>
      <c r="D34" s="2" t="n"/>
      <c r="E34" s="2" t="n"/>
      <c r="F34" s="2" t="n"/>
      <c r="G34" s="2" t="n"/>
      <c r="H34" s="2" t="n"/>
      <c r="I34" s="2" t="n"/>
      <c r="J34" s="2" t="n"/>
      <c r="K34" s="2" t="n"/>
      <c r="L34" s="2" t="n"/>
    </row>
    <row r="35">
      <c r="A35" s="2" t="n"/>
      <c r="B35" s="2" t="n"/>
      <c r="C35" s="2" t="n"/>
      <c r="D35" s="2" t="n"/>
      <c r="E35" s="2" t="n"/>
      <c r="F35" s="2" t="n"/>
      <c r="G35" s="2" t="n"/>
      <c r="H35" s="2" t="n"/>
      <c r="I35" s="2" t="n"/>
      <c r="J35" s="2" t="n"/>
      <c r="K35" s="2" t="n"/>
      <c r="L35" s="2" t="n"/>
    </row>
    <row r="36">
      <c r="A36" s="2" t="n"/>
      <c r="B36" s="2" t="n"/>
      <c r="C36" s="2" t="n"/>
      <c r="D36" s="2" t="n"/>
      <c r="E36" s="2" t="n"/>
      <c r="F36" s="2" t="n"/>
      <c r="G36" s="2" t="n"/>
      <c r="H36" s="2" t="n"/>
      <c r="I36" s="2" t="n"/>
      <c r="J36" s="2" t="n"/>
      <c r="K36" s="2" t="n"/>
      <c r="L36" s="2" t="n"/>
    </row>
    <row r="37">
      <c r="A37" s="2" t="n"/>
      <c r="B37" s="2" t="n"/>
      <c r="C37" s="2" t="n"/>
      <c r="D37" s="2" t="n"/>
      <c r="E37" s="2" t="n"/>
      <c r="F37" s="2" t="n"/>
      <c r="G37" s="2" t="n"/>
      <c r="H37" s="2" t="n"/>
      <c r="I37" s="2" t="n"/>
      <c r="J37" s="2" t="n"/>
      <c r="K37" s="2" t="n"/>
      <c r="L37" s="2" t="n"/>
    </row>
    <row r="38">
      <c r="A38" s="2" t="n"/>
      <c r="B38" s="2" t="n"/>
      <c r="C38" s="2" t="n"/>
      <c r="D38" s="2" t="n"/>
      <c r="E38" s="2" t="n"/>
      <c r="F38" s="2" t="n"/>
      <c r="G38" s="2" t="n"/>
      <c r="H38" s="2" t="n"/>
      <c r="I38" s="2" t="n"/>
      <c r="J38" s="2" t="n"/>
      <c r="K38" s="2" t="n"/>
      <c r="L38" s="2" t="n"/>
    </row>
    <row r="39">
      <c r="A39" s="2" t="n"/>
      <c r="B39" s="2" t="n"/>
      <c r="C39" s="2" t="n"/>
      <c r="D39" s="2" t="n"/>
      <c r="E39" s="2" t="n"/>
      <c r="F39" s="2" t="n"/>
      <c r="G39" s="2" t="n"/>
      <c r="H39" s="2" t="n"/>
      <c r="I39" s="2" t="n"/>
      <c r="J39" s="2" t="n"/>
      <c r="K39" s="2" t="n"/>
      <c r="L39" s="2" t="n"/>
    </row>
    <row r="40">
      <c r="A40" s="2" t="n"/>
      <c r="B40" s="2" t="n"/>
      <c r="C40" s="2" t="n"/>
      <c r="D40" s="2" t="n"/>
      <c r="E40" s="2" t="n"/>
      <c r="F40" s="2" t="n"/>
      <c r="G40" s="2" t="n"/>
      <c r="H40" s="2" t="n"/>
      <c r="I40" s="2" t="n"/>
      <c r="J40" s="2" t="n"/>
      <c r="K40" s="2" t="n"/>
      <c r="L40" s="2" t="n"/>
    </row>
    <row r="41">
      <c r="A41" s="2" t="n"/>
      <c r="B41" s="2" t="n"/>
      <c r="C41" s="2" t="n"/>
      <c r="D41" s="2" t="n"/>
      <c r="E41" s="2" t="n"/>
      <c r="F41" s="2" t="n"/>
      <c r="G41" s="2" t="n"/>
      <c r="H41" s="2" t="n"/>
      <c r="I41" s="2" t="n"/>
      <c r="J41" s="2" t="n"/>
      <c r="K41" s="2" t="n"/>
      <c r="L41" s="2" t="n"/>
    </row>
    <row r="42">
      <c r="A42" s="2" t="n"/>
      <c r="B42" s="2" t="n"/>
      <c r="C42" s="2" t="n"/>
      <c r="D42" s="2" t="n"/>
      <c r="E42" s="2" t="n"/>
      <c r="F42" s="2" t="n"/>
      <c r="G42" s="2" t="n"/>
      <c r="H42" s="2" t="n"/>
      <c r="I42" s="2" t="n"/>
      <c r="J42" s="2" t="n"/>
      <c r="K42" s="2" t="n"/>
      <c r="L42" s="2" t="n"/>
    </row>
    <row r="43">
      <c r="A43" s="2" t="n"/>
      <c r="B43" s="2" t="n"/>
      <c r="C43" s="2" t="n"/>
      <c r="D43" s="2" t="n"/>
      <c r="E43" s="2" t="n"/>
      <c r="F43" s="2" t="n"/>
      <c r="G43" s="2" t="n"/>
      <c r="H43" s="2" t="n"/>
      <c r="I43" s="2" t="n"/>
      <c r="J43" s="2" t="n"/>
      <c r="K43" s="2" t="n"/>
      <c r="L43" s="2" t="n"/>
    </row>
    <row r="44">
      <c r="A44" s="2" t="n"/>
      <c r="B44" s="2" t="n"/>
      <c r="C44" s="2" t="n"/>
      <c r="D44" s="2" t="n"/>
      <c r="E44" s="2" t="n"/>
      <c r="F44" s="2" t="n"/>
      <c r="G44" s="2" t="n"/>
      <c r="H44" s="2" t="n"/>
      <c r="I44" s="2" t="n"/>
      <c r="J44" s="2" t="n"/>
      <c r="K44" s="2" t="n"/>
      <c r="L44" s="2" t="n"/>
    </row>
    <row r="45">
      <c r="A45" s="2" t="n"/>
      <c r="B45" s="2" t="n"/>
      <c r="C45" s="2" t="n"/>
      <c r="D45" s="2" t="n"/>
      <c r="E45" s="2" t="n"/>
      <c r="F45" s="2" t="n"/>
      <c r="G45" s="2" t="n"/>
      <c r="H45" s="2" t="n"/>
      <c r="I45" s="2" t="n"/>
      <c r="J45" s="2" t="n"/>
      <c r="K45" s="2" t="n"/>
      <c r="L45" s="2" t="n"/>
    </row>
    <row r="46">
      <c r="A46" s="2" t="n"/>
      <c r="B46" s="2" t="n"/>
      <c r="C46" s="2" t="n"/>
      <c r="D46" s="2" t="n"/>
      <c r="E46" s="2" t="n"/>
      <c r="F46" s="2" t="n"/>
      <c r="G46" s="2" t="n"/>
      <c r="H46" s="2" t="n"/>
      <c r="I46" s="2" t="n"/>
      <c r="J46" s="2" t="n"/>
      <c r="K46" s="2" t="n"/>
      <c r="L46" s="2" t="n"/>
    </row>
    <row r="47">
      <c r="A47" s="2" t="n"/>
      <c r="B47" s="2" t="n"/>
      <c r="C47" s="2" t="n"/>
      <c r="D47" s="2" t="n"/>
      <c r="E47" s="2" t="n"/>
      <c r="F47" s="2" t="n"/>
      <c r="G47" s="2" t="n"/>
      <c r="H47" s="2" t="n"/>
      <c r="I47" s="2" t="n"/>
      <c r="J47" s="2" t="n"/>
      <c r="K47" s="2" t="n"/>
      <c r="L47" s="2" t="n"/>
    </row>
    <row r="48">
      <c r="A48" s="2" t="n"/>
      <c r="B48" s="2" t="n"/>
      <c r="C48" s="2" t="n"/>
      <c r="D48" s="2" t="n"/>
      <c r="E48" s="2" t="n"/>
      <c r="F48" s="2" t="n"/>
      <c r="G48" s="2" t="n"/>
      <c r="H48" s="2" t="n"/>
      <c r="I48" s="2" t="n"/>
      <c r="J48" s="2" t="n"/>
      <c r="K48" s="2" t="n"/>
      <c r="L48" s="2" t="n"/>
    </row>
    <row r="49">
      <c r="A49" s="2" t="n"/>
      <c r="B49" s="2" t="n"/>
      <c r="C49" s="2" t="n"/>
      <c r="D49" s="2" t="n"/>
      <c r="E49" s="2" t="n"/>
      <c r="F49" s="2" t="n"/>
      <c r="G49" s="2" t="n"/>
      <c r="H49" s="2" t="n"/>
      <c r="I49" s="2" t="n"/>
      <c r="J49" s="2" t="n"/>
      <c r="K49" s="2" t="n"/>
      <c r="L49" s="2" t="n"/>
    </row>
    <row r="50">
      <c r="A50" s="2" t="n"/>
      <c r="B50" s="2" t="n"/>
      <c r="C50" s="2" t="n"/>
      <c r="D50" s="2" t="n"/>
      <c r="E50" s="2" t="n"/>
      <c r="F50" s="2" t="n"/>
      <c r="G50" s="2" t="n"/>
      <c r="H50" s="2" t="n"/>
      <c r="I50" s="2" t="n"/>
      <c r="J50" s="2" t="n"/>
      <c r="K50" s="2" t="n"/>
      <c r="L50" s="2" t="n"/>
    </row>
    <row r="51">
      <c r="A51" s="2" t="n"/>
      <c r="B51" s="2" t="n"/>
      <c r="C51" s="2" t="n"/>
      <c r="D51" s="2" t="n"/>
      <c r="E51" s="2" t="n"/>
      <c r="F51" s="2" t="n"/>
      <c r="G51" s="2" t="n"/>
      <c r="H51" s="2" t="n"/>
      <c r="I51" s="2" t="n"/>
      <c r="J51" s="2" t="n"/>
      <c r="K51" s="2" t="n"/>
      <c r="L51" s="2" t="n"/>
    </row>
    <row r="52">
      <c r="A52" s="2" t="n"/>
      <c r="B52" s="2" t="n"/>
      <c r="C52" s="2" t="n"/>
      <c r="D52" s="2" t="n"/>
      <c r="E52" s="2" t="n"/>
      <c r="F52" s="2" t="n"/>
      <c r="G52" s="2" t="n"/>
      <c r="H52" s="2" t="n"/>
      <c r="I52" s="2" t="n"/>
      <c r="J52" s="2" t="n"/>
      <c r="K52" s="2" t="n"/>
      <c r="L52" s="2" t="n"/>
    </row>
    <row r="53">
      <c r="A53" s="2" t="n"/>
      <c r="B53" s="2" t="n"/>
      <c r="C53" s="2" t="n"/>
      <c r="D53" s="2" t="n"/>
      <c r="E53" s="2" t="n"/>
      <c r="F53" s="2" t="n"/>
      <c r="G53" s="2" t="n"/>
      <c r="H53" s="2" t="n"/>
      <c r="I53" s="2" t="n"/>
      <c r="J53" s="2" t="n"/>
      <c r="K53" s="2" t="n"/>
      <c r="L53" s="2" t="n"/>
    </row>
    <row r="54">
      <c r="A54" s="2" t="n"/>
      <c r="B54" s="2" t="n"/>
      <c r="C54" s="2" t="n"/>
      <c r="D54" s="2" t="n"/>
      <c r="E54" s="2" t="n"/>
      <c r="F54" s="2" t="n"/>
      <c r="G54" s="2" t="n"/>
      <c r="H54" s="2" t="n"/>
      <c r="I54" s="2" t="n"/>
      <c r="J54" s="2" t="n"/>
      <c r="K54" s="2" t="n"/>
      <c r="L54" s="2" t="n"/>
    </row>
    <row r="55">
      <c r="A55" s="2" t="n"/>
      <c r="B55" s="2" t="n"/>
      <c r="C55" s="2" t="n"/>
      <c r="D55" s="2" t="n"/>
      <c r="E55" s="2" t="n"/>
      <c r="F55" s="2" t="n"/>
      <c r="G55" s="2" t="n"/>
      <c r="H55" s="2" t="n"/>
      <c r="I55" s="2" t="n"/>
      <c r="J55" s="2" t="n"/>
      <c r="K55" s="2" t="n"/>
      <c r="L55" s="2" t="n"/>
    </row>
    <row r="56">
      <c r="A56" s="2" t="n"/>
      <c r="B56" s="2" t="n"/>
      <c r="C56" s="2" t="n"/>
      <c r="D56" s="2" t="n"/>
      <c r="E56" s="2" t="n"/>
      <c r="F56" s="2" t="n"/>
      <c r="G56" s="2" t="n"/>
      <c r="H56" s="2" t="n"/>
      <c r="I56" s="2" t="n"/>
      <c r="J56" s="2" t="n"/>
      <c r="K56" s="2" t="n"/>
      <c r="L56" s="2" t="n"/>
    </row>
    <row r="57">
      <c r="A57" s="2" t="n"/>
      <c r="B57" s="2" t="n"/>
      <c r="C57" s="2" t="n"/>
      <c r="D57" s="2" t="n"/>
      <c r="E57" s="2" t="n"/>
      <c r="F57" s="2" t="n"/>
      <c r="G57" s="2" t="n"/>
      <c r="H57" s="2" t="n"/>
      <c r="I57" s="2" t="n"/>
      <c r="J57" s="2" t="n"/>
      <c r="K57" s="2" t="n"/>
      <c r="L57" s="2" t="n"/>
    </row>
    <row r="58">
      <c r="A58" s="2" t="n"/>
      <c r="B58" s="2" t="n"/>
      <c r="C58" s="2" t="n"/>
      <c r="D58" s="2" t="n"/>
      <c r="E58" s="2" t="n"/>
      <c r="F58" s="2" t="n"/>
      <c r="G58" s="2" t="n"/>
      <c r="H58" s="2" t="n"/>
      <c r="I58" s="2" t="n"/>
      <c r="J58" s="2" t="n"/>
      <c r="K58" s="2" t="n"/>
      <c r="L58" s="2" t="n"/>
    </row>
    <row r="59">
      <c r="A59" s="2" t="n"/>
      <c r="B59" s="2" t="n"/>
      <c r="C59" s="2" t="n"/>
      <c r="D59" s="2" t="n"/>
      <c r="E59" s="2" t="n"/>
      <c r="F59" s="2" t="n"/>
      <c r="G59" s="2" t="n"/>
      <c r="H59" s="2" t="n"/>
      <c r="I59" s="2" t="n"/>
      <c r="J59" s="2" t="n"/>
      <c r="K59" s="2" t="n"/>
      <c r="L59" s="2" t="n"/>
    </row>
    <row r="60">
      <c r="A60" s="2" t="n"/>
      <c r="B60" s="2" t="n"/>
      <c r="C60" s="2" t="n"/>
      <c r="D60" s="2" t="n"/>
      <c r="E60" s="2" t="n"/>
      <c r="F60" s="2" t="n"/>
      <c r="G60" s="2" t="n"/>
      <c r="H60" s="2" t="n"/>
      <c r="I60" s="2" t="n"/>
      <c r="J60" s="2" t="n"/>
      <c r="K60" s="2" t="n"/>
      <c r="L60" s="2" t="n"/>
    </row>
    <row r="61">
      <c r="A61" s="2" t="n"/>
      <c r="B61" s="2" t="n"/>
      <c r="C61" s="2" t="n"/>
      <c r="D61" s="2" t="n"/>
      <c r="E61" s="2" t="n"/>
      <c r="F61" s="2" t="n"/>
      <c r="G61" s="2" t="n"/>
      <c r="H61" s="2" t="n"/>
      <c r="I61" s="2" t="n"/>
      <c r="J61" s="2" t="n"/>
      <c r="K61" s="2" t="n"/>
      <c r="L61" s="2" t="n"/>
    </row>
    <row r="62">
      <c r="A62" s="2" t="n"/>
      <c r="B62" s="2" t="n"/>
      <c r="C62" s="2" t="n"/>
      <c r="D62" s="2" t="n"/>
      <c r="E62" s="2" t="n"/>
      <c r="F62" s="2" t="n"/>
      <c r="G62" s="2" t="n"/>
      <c r="H62" s="2" t="n"/>
      <c r="I62" s="2" t="n"/>
      <c r="J62" s="2" t="n"/>
      <c r="K62" s="2" t="n"/>
      <c r="L62" s="2" t="n"/>
    </row>
    <row r="63">
      <c r="A63" s="2" t="n"/>
      <c r="B63" s="2" t="n"/>
      <c r="C63" s="2" t="n"/>
      <c r="D63" s="2" t="n"/>
      <c r="E63" s="2" t="n"/>
      <c r="F63" s="2" t="n"/>
      <c r="G63" s="2" t="n"/>
      <c r="H63" s="2" t="n"/>
      <c r="I63" s="2" t="n"/>
      <c r="J63" s="2" t="n"/>
      <c r="K63" s="2" t="n"/>
      <c r="L63" s="2" t="n"/>
    </row>
    <row r="64">
      <c r="A64" s="2" t="n"/>
      <c r="B64" s="2" t="n"/>
      <c r="C64" s="2" t="n"/>
      <c r="D64" s="2" t="n"/>
      <c r="E64" s="2" t="n"/>
      <c r="F64" s="2" t="n"/>
      <c r="G64" s="2" t="n"/>
      <c r="H64" s="2" t="n"/>
      <c r="I64" s="2" t="n"/>
      <c r="J64" s="2" t="n"/>
      <c r="K64" s="2" t="n"/>
      <c r="L64" s="2" t="n"/>
    </row>
    <row r="65">
      <c r="A65" s="2" t="n"/>
      <c r="B65" s="2" t="n"/>
      <c r="C65" s="2" t="n"/>
      <c r="D65" s="2" t="n"/>
      <c r="E65" s="2" t="n"/>
      <c r="F65" s="2" t="n"/>
      <c r="G65" s="2" t="n"/>
      <c r="H65" s="2" t="n"/>
      <c r="I65" s="2" t="n"/>
      <c r="J65" s="2" t="n"/>
      <c r="K65" s="2" t="n"/>
      <c r="L65" s="2" t="n"/>
    </row>
    <row r="66">
      <c r="A66" s="2" t="n"/>
      <c r="B66" s="2" t="n"/>
      <c r="C66" s="2" t="n"/>
      <c r="D66" s="2" t="n"/>
      <c r="E66" s="2" t="n"/>
      <c r="F66" s="2" t="n"/>
      <c r="G66" s="2" t="n"/>
      <c r="H66" s="2" t="n"/>
      <c r="I66" s="2" t="n"/>
      <c r="J66" s="2" t="n"/>
      <c r="K66" s="2" t="n"/>
      <c r="L66" s="2" t="n"/>
    </row>
    <row r="67">
      <c r="A67" s="2" t="n"/>
      <c r="B67" s="2" t="n"/>
      <c r="C67" s="2" t="n"/>
      <c r="D67" s="2" t="n"/>
      <c r="E67" s="2" t="n"/>
      <c r="F67" s="2" t="n"/>
      <c r="G67" s="2" t="n"/>
      <c r="H67" s="2" t="n"/>
      <c r="I67" s="2" t="n"/>
      <c r="J67" s="2" t="n"/>
      <c r="K67" s="2" t="n"/>
      <c r="L67" s="2" t="n"/>
    </row>
    <row r="68">
      <c r="A68" s="2" t="n"/>
      <c r="B68" s="2" t="n"/>
      <c r="C68" s="2" t="n"/>
      <c r="D68" s="2" t="n"/>
      <c r="E68" s="2" t="n"/>
      <c r="F68" s="2" t="n"/>
      <c r="G68" s="2" t="n"/>
      <c r="H68" s="2" t="n"/>
      <c r="I68" s="2" t="n"/>
      <c r="J68" s="2" t="n"/>
      <c r="K68" s="2" t="n"/>
      <c r="L68" s="2" t="n"/>
    </row>
    <row r="69">
      <c r="A69" s="2" t="n"/>
      <c r="B69" s="2" t="n"/>
      <c r="C69" s="2" t="n"/>
      <c r="D69" s="2" t="n"/>
      <c r="E69" s="2" t="n"/>
      <c r="F69" s="2" t="n"/>
      <c r="G69" s="2" t="n"/>
      <c r="H69" s="2" t="n"/>
      <c r="I69" s="2" t="n"/>
      <c r="J69" s="2" t="n"/>
      <c r="K69" s="2" t="n"/>
      <c r="L69" s="2" t="n"/>
    </row>
    <row r="70">
      <c r="A70" s="2" t="n"/>
      <c r="B70" s="2" t="n"/>
      <c r="C70" s="2" t="n"/>
      <c r="D70" s="2" t="n"/>
      <c r="E70" s="2" t="n"/>
      <c r="F70" s="2" t="n"/>
      <c r="G70" s="2" t="n"/>
      <c r="H70" s="2" t="n"/>
      <c r="I70" s="2" t="n"/>
      <c r="J70" s="2" t="n"/>
      <c r="K70" s="2" t="n"/>
      <c r="L70" s="2" t="n"/>
    </row>
    <row r="71">
      <c r="A71" s="2" t="n"/>
      <c r="B71" s="2" t="n"/>
      <c r="C71" s="2" t="n"/>
      <c r="D71" s="2" t="n"/>
      <c r="E71" s="2" t="n"/>
      <c r="F71" s="2" t="n"/>
      <c r="G71" s="2" t="n"/>
      <c r="H71" s="2" t="n"/>
      <c r="I71" s="2" t="n"/>
      <c r="J71" s="2" t="n"/>
      <c r="K71" s="2" t="n"/>
      <c r="L71" s="2" t="n"/>
    </row>
    <row r="72">
      <c r="A72" s="2" t="n"/>
      <c r="B72" s="2" t="n"/>
      <c r="C72" s="2" t="n"/>
      <c r="D72" s="2" t="n"/>
      <c r="E72" s="2" t="n"/>
      <c r="F72" s="2" t="n"/>
      <c r="G72" s="2" t="n"/>
      <c r="H72" s="2" t="n"/>
      <c r="I72" s="2" t="n"/>
      <c r="J72" s="2" t="n"/>
      <c r="K72" s="2" t="n"/>
      <c r="L72" s="2" t="n"/>
    </row>
    <row r="73">
      <c r="A73" s="2" t="n"/>
      <c r="B73" s="2" t="n"/>
      <c r="C73" s="2" t="n"/>
      <c r="D73" s="2" t="n"/>
      <c r="E73" s="2" t="n"/>
      <c r="F73" s="2" t="n"/>
      <c r="G73" s="2" t="n"/>
      <c r="H73" s="2" t="n"/>
      <c r="I73" s="2" t="n"/>
      <c r="J73" s="2" t="n"/>
      <c r="K73" s="2" t="n"/>
      <c r="L73" s="2" t="n"/>
    </row>
    <row r="74">
      <c r="A74" s="2" t="n"/>
      <c r="B74" s="2" t="n"/>
      <c r="C74" s="2" t="n"/>
      <c r="D74" s="2" t="n"/>
      <c r="E74" s="2" t="n"/>
      <c r="F74" s="2" t="n"/>
      <c r="G74" s="2" t="n"/>
      <c r="H74" s="2" t="n"/>
      <c r="I74" s="2" t="n"/>
      <c r="J74" s="2" t="n"/>
      <c r="K74" s="2" t="n"/>
      <c r="L74" s="2" t="n"/>
    </row>
    <row r="75">
      <c r="A75" s="2" t="n"/>
      <c r="B75" s="2" t="n"/>
      <c r="C75" s="2" t="n"/>
      <c r="D75" s="2" t="n"/>
      <c r="E75" s="2" t="n"/>
      <c r="F75" s="2" t="n"/>
      <c r="G75" s="2" t="n"/>
      <c r="H75" s="2" t="n"/>
      <c r="I75" s="2" t="n"/>
      <c r="J75" s="2" t="n"/>
      <c r="K75" s="2" t="n"/>
      <c r="L75" s="2" t="n"/>
    </row>
    <row r="76">
      <c r="A76" s="2" t="n"/>
      <c r="B76" s="2" t="n"/>
      <c r="C76" s="2" t="n"/>
      <c r="D76" s="2" t="n"/>
      <c r="E76" s="2" t="n"/>
      <c r="F76" s="2" t="n"/>
      <c r="G76" s="2" t="n"/>
      <c r="H76" s="2" t="n"/>
      <c r="I76" s="2" t="n"/>
      <c r="J76" s="2" t="n"/>
      <c r="K76" s="2" t="n"/>
      <c r="L76" s="2" t="n"/>
    </row>
    <row r="77">
      <c r="A77" s="2" t="n"/>
      <c r="B77" s="2" t="n"/>
      <c r="C77" s="2" t="n"/>
      <c r="D77" s="2" t="n"/>
      <c r="E77" s="2" t="n"/>
      <c r="F77" s="2" t="n"/>
      <c r="G77" s="2" t="n"/>
      <c r="H77" s="2" t="n"/>
      <c r="I77" s="2" t="n"/>
      <c r="J77" s="2" t="n"/>
      <c r="K77" s="2" t="n"/>
      <c r="L77" s="2" t="n"/>
    </row>
    <row r="78">
      <c r="A78" s="2" t="n"/>
      <c r="B78" s="2" t="n"/>
      <c r="C78" s="2" t="n"/>
      <c r="D78" s="2" t="n"/>
      <c r="E78" s="2" t="n"/>
      <c r="F78" s="2" t="n"/>
      <c r="G78" s="2" t="n"/>
      <c r="H78" s="2" t="n"/>
      <c r="I78" s="2" t="n"/>
      <c r="J78" s="2" t="n"/>
      <c r="K78" s="2" t="n"/>
      <c r="L78" s="2" t="n"/>
    </row>
    <row r="79">
      <c r="A79" s="2" t="n"/>
      <c r="B79" s="2" t="n"/>
      <c r="C79" s="2" t="n"/>
      <c r="D79" s="2" t="n"/>
      <c r="E79" s="2" t="n"/>
      <c r="F79" s="2" t="n"/>
      <c r="G79" s="2" t="n"/>
      <c r="H79" s="2" t="n"/>
      <c r="I79" s="2" t="n"/>
      <c r="J79" s="2" t="n"/>
      <c r="K79" s="2" t="n"/>
      <c r="L79" s="2" t="n"/>
    </row>
    <row r="80">
      <c r="A80" s="2" t="n"/>
      <c r="B80" s="2" t="n"/>
      <c r="C80" s="2" t="n"/>
      <c r="D80" s="2" t="n"/>
      <c r="E80" s="2" t="n"/>
      <c r="F80" s="2" t="n"/>
      <c r="G80" s="2" t="n"/>
      <c r="H80" s="2" t="n"/>
      <c r="I80" s="2" t="n"/>
      <c r="J80" s="2" t="n"/>
      <c r="K80" s="2" t="n"/>
      <c r="L80" s="2" t="n"/>
    </row>
    <row r="81">
      <c r="A81" s="2" t="n"/>
      <c r="B81" s="2" t="n"/>
      <c r="C81" s="2" t="n"/>
      <c r="D81" s="2" t="n"/>
      <c r="E81" s="2" t="n"/>
      <c r="F81" s="2" t="n"/>
      <c r="G81" s="2" t="n"/>
      <c r="H81" s="2" t="n"/>
      <c r="I81" s="2" t="n"/>
      <c r="J81" s="2" t="n"/>
      <c r="K81" s="2" t="n"/>
      <c r="L81" s="2" t="n"/>
    </row>
    <row r="82">
      <c r="A82" s="2" t="n"/>
      <c r="B82" s="2" t="n"/>
      <c r="C82" s="2" t="n"/>
      <c r="D82" s="2" t="n"/>
      <c r="E82" s="2" t="n"/>
      <c r="F82" s="2" t="n"/>
      <c r="G82" s="2" t="n"/>
      <c r="H82" s="2" t="n"/>
      <c r="I82" s="2" t="n"/>
      <c r="J82" s="2" t="n"/>
      <c r="K82" s="2" t="n"/>
      <c r="L82" s="2" t="n"/>
    </row>
    <row r="83">
      <c r="A83" s="2" t="n"/>
      <c r="B83" s="2" t="n"/>
      <c r="C83" s="2" t="n"/>
      <c r="D83" s="2" t="n"/>
      <c r="E83" s="2" t="n"/>
      <c r="F83" s="2" t="n"/>
      <c r="G83" s="2" t="n"/>
      <c r="H83" s="2" t="n"/>
      <c r="I83" s="2" t="n"/>
      <c r="J83" s="2" t="n"/>
      <c r="K83" s="2" t="n"/>
      <c r="L83" s="2" t="n"/>
    </row>
    <row r="84">
      <c r="A84" s="2" t="n"/>
      <c r="B84" s="2" t="n"/>
      <c r="C84" s="2" t="n"/>
      <c r="D84" s="2" t="n"/>
      <c r="E84" s="2" t="n"/>
      <c r="F84" s="2" t="n"/>
      <c r="G84" s="2" t="n"/>
      <c r="H84" s="2" t="n"/>
      <c r="I84" s="2" t="n"/>
      <c r="J84" s="2" t="n"/>
      <c r="K84" s="2" t="n"/>
      <c r="L84" s="2" t="n"/>
    </row>
    <row r="85">
      <c r="A85" s="2" t="n"/>
      <c r="B85" s="2" t="n"/>
      <c r="C85" s="2" t="n"/>
      <c r="D85" s="2" t="n"/>
      <c r="E85" s="2" t="n"/>
      <c r="F85" s="2" t="n"/>
      <c r="G85" s="2" t="n"/>
      <c r="H85" s="2" t="n"/>
      <c r="I85" s="2" t="n"/>
      <c r="J85" s="2" t="n"/>
      <c r="K85" s="2" t="n"/>
      <c r="L85" s="2" t="n"/>
    </row>
    <row r="86">
      <c r="A86" s="2" t="n"/>
      <c r="B86" s="2" t="n"/>
      <c r="C86" s="2" t="n"/>
      <c r="D86" s="2" t="n"/>
      <c r="E86" s="2" t="n"/>
      <c r="F86" s="2" t="n"/>
      <c r="G86" s="2" t="n"/>
      <c r="H86" s="2" t="n"/>
      <c r="I86" s="2" t="n"/>
      <c r="J86" s="2" t="n"/>
      <c r="K86" s="2" t="n"/>
      <c r="L86" s="2" t="n"/>
    </row>
    <row r="87">
      <c r="A87" s="2" t="n"/>
      <c r="B87" s="2" t="n"/>
      <c r="C87" s="2" t="n"/>
      <c r="D87" s="2" t="n"/>
      <c r="E87" s="2" t="n"/>
      <c r="F87" s="2" t="n"/>
      <c r="G87" s="2" t="n"/>
      <c r="H87" s="2" t="n"/>
      <c r="I87" s="2" t="n"/>
      <c r="J87" s="2" t="n"/>
      <c r="K87" s="2" t="n"/>
      <c r="L87" s="2" t="n"/>
    </row>
    <row r="88">
      <c r="A88" s="2" t="n"/>
      <c r="B88" s="2" t="n"/>
      <c r="C88" s="2" t="n"/>
      <c r="D88" s="2" t="n"/>
      <c r="E88" s="2" t="n"/>
      <c r="F88" s="2" t="n"/>
      <c r="G88" s="2" t="n"/>
      <c r="H88" s="2" t="n"/>
      <c r="I88" s="2" t="n"/>
      <c r="J88" s="2" t="n"/>
      <c r="K88" s="2" t="n"/>
      <c r="L88" s="2" t="n"/>
    </row>
    <row r="89">
      <c r="A89" s="2" t="n"/>
      <c r="B89" s="2" t="n"/>
      <c r="C89" s="2" t="n"/>
      <c r="D89" s="2" t="n"/>
      <c r="E89" s="2" t="n"/>
      <c r="F89" s="2" t="n"/>
      <c r="G89" s="2" t="n"/>
      <c r="H89" s="2" t="n"/>
      <c r="I89" s="2" t="n"/>
      <c r="J89" s="2" t="n"/>
      <c r="K89" s="2" t="n"/>
      <c r="L89" s="2" t="n"/>
    </row>
    <row r="90">
      <c r="A90" s="2" t="n"/>
      <c r="B90" s="2" t="n"/>
      <c r="C90" s="2" t="n"/>
      <c r="D90" s="2" t="n"/>
      <c r="E90" s="2" t="n"/>
      <c r="F90" s="2" t="n"/>
      <c r="G90" s="2" t="n"/>
      <c r="H90" s="2" t="n"/>
      <c r="I90" s="2" t="n"/>
      <c r="J90" s="2" t="n"/>
      <c r="K90" s="2" t="n"/>
      <c r="L90" s="2" t="n"/>
    </row>
    <row r="91">
      <c r="A91" s="2" t="n"/>
      <c r="B91" s="2" t="n"/>
      <c r="C91" s="2" t="n"/>
      <c r="D91" s="2" t="n"/>
      <c r="E91" s="2" t="n"/>
      <c r="F91" s="2" t="n"/>
      <c r="G91" s="2" t="n"/>
      <c r="H91" s="2" t="n"/>
      <c r="I91" s="2" t="n"/>
      <c r="J91" s="2" t="n"/>
      <c r="K91" s="2" t="n"/>
      <c r="L91" s="2" t="n"/>
    </row>
    <row r="92">
      <c r="A92" s="2" t="n"/>
      <c r="B92" s="2" t="n"/>
      <c r="C92" s="2" t="n"/>
      <c r="D92" s="2" t="n"/>
      <c r="E92" s="2" t="n"/>
      <c r="F92" s="2" t="n"/>
      <c r="G92" s="2" t="n"/>
      <c r="H92" s="2" t="n"/>
      <c r="I92" s="2" t="n"/>
      <c r="J92" s="2" t="n"/>
      <c r="K92" s="2" t="n"/>
      <c r="L92" s="2" t="n"/>
    </row>
    <row r="93">
      <c r="A93" s="2" t="n"/>
      <c r="B93" s="2" t="n"/>
      <c r="C93" s="2" t="n"/>
      <c r="D93" s="2" t="n"/>
      <c r="E93" s="2" t="n"/>
      <c r="F93" s="2" t="n"/>
      <c r="G93" s="2" t="n"/>
      <c r="H93" s="2" t="n"/>
      <c r="I93" s="2" t="n"/>
      <c r="J93" s="2" t="n"/>
      <c r="K93" s="2" t="n"/>
      <c r="L93" s="2" t="n"/>
    </row>
    <row r="94">
      <c r="A94" s="2" t="n"/>
      <c r="B94" s="2" t="n"/>
      <c r="C94" s="2" t="n"/>
      <c r="D94" s="2" t="n"/>
      <c r="E94" s="2" t="n"/>
      <c r="F94" s="2" t="n"/>
      <c r="G94" s="2" t="n"/>
      <c r="H94" s="2" t="n"/>
      <c r="I94" s="2" t="n"/>
      <c r="J94" s="2" t="n"/>
      <c r="K94" s="2" t="n"/>
      <c r="L94" s="2" t="n"/>
    </row>
    <row r="95">
      <c r="A95" s="2" t="n"/>
      <c r="B95" s="2" t="n"/>
      <c r="C95" s="2" t="n"/>
      <c r="D95" s="2" t="n"/>
      <c r="E95" s="2" t="n"/>
      <c r="F95" s="2" t="n"/>
      <c r="G95" s="2" t="n"/>
      <c r="H95" s="2" t="n"/>
      <c r="I95" s="2" t="n"/>
      <c r="J95" s="2" t="n"/>
      <c r="K95" s="2" t="n"/>
      <c r="L95" s="2" t="n"/>
    </row>
    <row r="96">
      <c r="A96" s="2" t="n"/>
      <c r="B96" s="2" t="n"/>
      <c r="C96" s="2" t="n"/>
      <c r="D96" s="2" t="n"/>
      <c r="E96" s="2" t="n"/>
      <c r="F96" s="2" t="n"/>
      <c r="G96" s="2" t="n"/>
      <c r="H96" s="2" t="n"/>
      <c r="I96" s="2" t="n"/>
      <c r="J96" s="2" t="n"/>
      <c r="K96" s="2" t="n"/>
      <c r="L96" s="2" t="n"/>
    </row>
    <row r="97">
      <c r="A97" s="2" t="n"/>
      <c r="B97" s="2" t="n"/>
      <c r="C97" s="2" t="n"/>
      <c r="D97" s="2" t="n"/>
      <c r="E97" s="2" t="n"/>
      <c r="F97" s="2" t="n"/>
      <c r="G97" s="2" t="n"/>
      <c r="H97" s="2" t="n"/>
      <c r="I97" s="2" t="n"/>
      <c r="J97" s="2" t="n"/>
      <c r="K97" s="2" t="n"/>
      <c r="L97" s="2" t="n"/>
    </row>
    <row r="98">
      <c r="A98" s="2" t="n"/>
      <c r="B98" s="2" t="n"/>
      <c r="C98" s="2" t="n"/>
      <c r="D98" s="2" t="n"/>
      <c r="E98" s="2" t="n"/>
      <c r="F98" s="2" t="n"/>
      <c r="G98" s="2" t="n"/>
      <c r="H98" s="2" t="n"/>
      <c r="I98" s="2" t="n"/>
      <c r="J98" s="2" t="n"/>
      <c r="K98" s="2" t="n"/>
      <c r="L98" s="2" t="n"/>
    </row>
    <row r="99">
      <c r="A99" s="2" t="n"/>
      <c r="B99" s="2" t="n"/>
      <c r="C99" s="2" t="n"/>
      <c r="D99" s="2" t="n"/>
      <c r="E99" s="2" t="n"/>
      <c r="F99" s="2" t="n"/>
      <c r="G99" s="2" t="n"/>
      <c r="H99" s="2" t="n"/>
      <c r="I99" s="2" t="n"/>
      <c r="J99" s="2" t="n"/>
      <c r="K99" s="2" t="n"/>
      <c r="L99" s="2" t="n"/>
    </row>
    <row r="100">
      <c r="A100" s="2" t="n"/>
      <c r="B100" s="2" t="n"/>
      <c r="C100" s="2" t="n"/>
      <c r="D100" s="2" t="n"/>
      <c r="E100" s="2" t="n"/>
      <c r="F100" s="2" t="n"/>
      <c r="G100" s="2" t="n"/>
      <c r="H100" s="2" t="n"/>
      <c r="I100" s="2" t="n"/>
      <c r="J100" s="2" t="n"/>
      <c r="K100" s="2" t="n"/>
      <c r="L100" s="2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3">
    <tabColor rgb="FF46C8F5"/>
    <outlinePr summaryBelow="1" summaryRight="1"/>
    <pageSetUpPr/>
  </sheetPr>
  <dimension ref="A1:L100"/>
  <sheetViews>
    <sheetView showGridLines="0" zoomScaleNormal="100" workbookViewId="0">
      <pane xSplit="1" ySplit="4" topLeftCell="B22" activePane="bottomRight" state="frozen"/>
      <selection pane="topRight" activeCell="B1" sqref="B1"/>
      <selection pane="bottomLeft" activeCell="A5" sqref="A5"/>
      <selection pane="bottomRight" activeCell="A1" sqref="A1"/>
    </sheetView>
  </sheetViews>
  <sheetFormatPr baseColWidth="10" defaultColWidth="8.7109375" defaultRowHeight="15"/>
  <cols>
    <col width="32" customWidth="1" min="1" max="1"/>
    <col width="12" customWidth="1" min="2" max="8"/>
  </cols>
  <sheetData>
    <row r="1" ht="21.75" customHeight="1">
      <c r="A1" s="1" t="inlineStr">
        <is>
          <t>BALANCE - MELI (simplificado)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</row>
    <row r="2" ht="13.5" customHeight="1">
      <c r="A2" s="3" t="inlineStr">
        <is>
          <t>USD millones - Historico vinculado a Supuestos - Proyeccion escrita por VBA</t>
        </is>
      </c>
      <c r="B2" s="2" t="n"/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</row>
    <row r="4">
      <c r="A4" s="6" t="inlineStr">
        <is>
          <t>Concepto</t>
        </is>
      </c>
      <c r="B4" s="7" t="inlineStr">
        <is>
          <t>FY2024</t>
        </is>
      </c>
      <c r="C4" s="7" t="inlineStr">
        <is>
          <t>FY2025</t>
        </is>
      </c>
      <c r="D4" s="7" t="inlineStr">
        <is>
          <t>FY2026E</t>
        </is>
      </c>
      <c r="E4" s="7" t="inlineStr">
        <is>
          <t>FY2027E</t>
        </is>
      </c>
      <c r="F4" s="7" t="inlineStr">
        <is>
          <t>FY2028E</t>
        </is>
      </c>
      <c r="G4" s="7" t="inlineStr">
        <is>
          <t>FY2029E</t>
        </is>
      </c>
      <c r="H4" s="7" t="inlineStr">
        <is>
          <t>FY2030E</t>
        </is>
      </c>
      <c r="I4" s="2" t="n"/>
      <c r="J4" s="2" t="n"/>
      <c r="K4" s="2" t="n"/>
      <c r="L4" s="2" t="n"/>
    </row>
    <row r="5">
      <c r="A5" s="8" t="inlineStr">
        <is>
          <t>Caja y equivalentes</t>
        </is>
      </c>
      <c r="B5" s="9">
        <f>Supuestos!B27</f>
        <v/>
      </c>
      <c r="C5" s="9">
        <f>Supuestos!C27</f>
        <v/>
      </c>
      <c r="D5" s="9" t="n">
        <v>3304.840678410958</v>
      </c>
      <c r="E5" s="9" t="n">
        <v>3858.168113319342</v>
      </c>
      <c r="F5" s="9" t="n">
        <v>5403.531399013078</v>
      </c>
      <c r="G5" s="9" t="n">
        <v>8161.001649363292</v>
      </c>
      <c r="H5" s="9" t="n">
        <v>12258.09480512953</v>
      </c>
      <c r="I5" s="2" t="n"/>
      <c r="J5" s="2" t="n"/>
      <c r="K5" s="2" t="n"/>
      <c r="L5" s="2" t="n"/>
    </row>
    <row r="6">
      <c r="A6" s="8" t="inlineStr">
        <is>
          <t>Inversiones corrientes</t>
        </is>
      </c>
      <c r="B6" s="9">
        <f>Supuestos!B28</f>
        <v/>
      </c>
      <c r="C6" s="9">
        <f>Supuestos!C28</f>
        <v/>
      </c>
      <c r="D6" s="9" t="n">
        <v>2891.9</v>
      </c>
      <c r="E6" s="9" t="n">
        <v>3181.09</v>
      </c>
      <c r="F6" s="9" t="n">
        <v>3435.5772</v>
      </c>
      <c r="G6" s="9" t="n">
        <v>3710.423376</v>
      </c>
      <c r="H6" s="9" t="n">
        <v>3933.04877856</v>
      </c>
      <c r="I6" s="2" t="n"/>
      <c r="J6" s="2" t="n"/>
      <c r="K6" s="2" t="n"/>
      <c r="L6" s="2" t="n"/>
    </row>
    <row r="7">
      <c r="A7" s="8" t="inlineStr">
        <is>
          <t>Cuentas por cobrar comerciales</t>
        </is>
      </c>
      <c r="B7" s="9">
        <f>Supuestos!B29</f>
        <v/>
      </c>
      <c r="C7" s="9">
        <f>Supuestos!C29</f>
        <v/>
      </c>
      <c r="D7" s="9" t="n">
        <v>506.6169863013699</v>
      </c>
      <c r="E7" s="9" t="n">
        <v>623.138893150685</v>
      </c>
      <c r="F7" s="9" t="n">
        <v>741.5352828493152</v>
      </c>
      <c r="G7" s="9" t="n">
        <v>860.1809281052056</v>
      </c>
      <c r="H7" s="9" t="n">
        <v>980.6062580399345</v>
      </c>
      <c r="I7" s="2" t="n"/>
      <c r="J7" s="2" t="n"/>
      <c r="K7" s="2" t="n"/>
      <c r="L7" s="2" t="n"/>
    </row>
    <row r="8">
      <c r="A8" s="8" t="inlineStr">
        <is>
          <t>Inventarios</t>
        </is>
      </c>
      <c r="B8" s="9">
        <f>Supuestos!B30</f>
        <v/>
      </c>
      <c r="C8" s="9">
        <f>Supuestos!C30</f>
        <v/>
      </c>
      <c r="D8" s="9" t="n">
        <v>731.0483112328768</v>
      </c>
      <c r="E8" s="9" t="n">
        <v>895.9491005720549</v>
      </c>
      <c r="F8" s="9" t="n">
        <v>1060.395454474521</v>
      </c>
      <c r="G8" s="9" t="n">
        <v>1225.585786364297</v>
      </c>
      <c r="H8" s="9" t="n">
        <v>1389.519067642587</v>
      </c>
      <c r="I8" s="2" t="n"/>
      <c r="J8" s="2" t="n"/>
      <c r="K8" s="2" t="n"/>
      <c r="L8" s="2" t="n"/>
    </row>
    <row r="9">
      <c r="A9" s="8" t="inlineStr">
        <is>
          <t>Otros activos corrientes</t>
        </is>
      </c>
      <c r="B9" s="9">
        <f>Supuestos!B31</f>
        <v/>
      </c>
      <c r="C9" s="9">
        <f>Supuestos!C31</f>
        <v/>
      </c>
      <c r="D9" s="9" t="n">
        <v>828</v>
      </c>
      <c r="E9" s="9" t="n">
        <v>927.36</v>
      </c>
      <c r="F9" s="9" t="n">
        <v>1020.096</v>
      </c>
      <c r="G9" s="9" t="n">
        <v>1101.70368</v>
      </c>
      <c r="H9" s="9" t="n">
        <v>1178.8229376</v>
      </c>
      <c r="I9" s="2" t="n"/>
      <c r="J9" s="2" t="n"/>
      <c r="K9" s="2" t="n"/>
      <c r="L9" s="2" t="n"/>
    </row>
    <row r="10">
      <c r="A10" s="10" t="inlineStr">
        <is>
          <t>Total activo corriente</t>
        </is>
      </c>
      <c r="B10" s="11">
        <f>Supuestos!B32</f>
        <v/>
      </c>
      <c r="C10" s="11">
        <f>Supuestos!C32</f>
        <v/>
      </c>
      <c r="D10" s="11" t="n">
        <v>8262.405975945205</v>
      </c>
      <c r="E10" s="11" t="n">
        <v>9485.706107042082</v>
      </c>
      <c r="F10" s="11" t="n">
        <v>11661.13533633691</v>
      </c>
      <c r="G10" s="11" t="n">
        <v>15058.8954198328</v>
      </c>
      <c r="H10" s="11" t="n">
        <v>19740.09184697206</v>
      </c>
      <c r="I10" s="2" t="n"/>
      <c r="J10" s="2" t="n"/>
      <c r="K10" s="2" t="n"/>
      <c r="L10" s="2" t="n"/>
    </row>
    <row r="11">
      <c r="A11" s="8" t="inlineStr">
        <is>
          <t>Inversiones no corrientes</t>
        </is>
      </c>
      <c r="B11" s="9">
        <f>Supuestos!B33</f>
        <v/>
      </c>
      <c r="C11" s="9">
        <f>Supuestos!C33</f>
        <v/>
      </c>
      <c r="D11" s="9" t="n">
        <v>1940.4</v>
      </c>
      <c r="E11" s="9" t="n">
        <v>2134.44</v>
      </c>
      <c r="F11" s="9" t="n">
        <v>2305.1952</v>
      </c>
      <c r="G11" s="9" t="n">
        <v>2489.610816</v>
      </c>
      <c r="H11" s="9" t="n">
        <v>2638.987464960001</v>
      </c>
      <c r="I11" s="2" t="n"/>
      <c r="J11" s="2" t="n"/>
      <c r="K11" s="2" t="n"/>
      <c r="L11" s="2" t="n"/>
    </row>
    <row r="12">
      <c r="A12" s="8" t="inlineStr">
        <is>
          <t>PP&amp;E, neto</t>
        </is>
      </c>
      <c r="B12" s="9">
        <f>Supuestos!B34</f>
        <v/>
      </c>
      <c r="C12" s="9">
        <f>Supuestos!C34</f>
        <v/>
      </c>
      <c r="D12" s="9" t="n">
        <v>2894.72864</v>
      </c>
      <c r="E12" s="9" t="n">
        <v>3531.5765888</v>
      </c>
      <c r="F12" s="9" t="n">
        <v>4235.293572224</v>
      </c>
      <c r="G12" s="9" t="n">
        <v>4926.01885749248</v>
      </c>
      <c r="H12" s="9" t="n">
        <v>5641.861425861632</v>
      </c>
      <c r="I12" s="2" t="n"/>
      <c r="J12" s="2" t="n"/>
      <c r="K12" s="2" t="n"/>
      <c r="L12" s="2" t="n"/>
    </row>
    <row r="13">
      <c r="A13" s="8" t="inlineStr">
        <is>
          <t>Fintech neto (posicion financiera)</t>
        </is>
      </c>
      <c r="B13" s="9">
        <f>Supuestos!B35</f>
        <v/>
      </c>
      <c r="C13" s="9">
        <f>Supuestos!C35</f>
        <v/>
      </c>
      <c r="D13" s="9" t="n">
        <v>12131.84</v>
      </c>
      <c r="E13" s="9" t="n">
        <v>14922.1632</v>
      </c>
      <c r="F13" s="9" t="n">
        <v>17757.374208</v>
      </c>
      <c r="G13" s="9" t="n">
        <v>20598.55408128</v>
      </c>
      <c r="H13" s="9" t="n">
        <v>23482.3516526592</v>
      </c>
      <c r="I13" s="2" t="n"/>
      <c r="J13" s="2" t="n"/>
      <c r="K13" s="2" t="n"/>
      <c r="L13" s="2" t="n"/>
    </row>
    <row r="14">
      <c r="A14" s="8" t="inlineStr">
        <is>
          <t>Otros activos no corrientes</t>
        </is>
      </c>
      <c r="B14" s="9">
        <f>Supuestos!B36</f>
        <v/>
      </c>
      <c r="C14" s="9">
        <f>Supuestos!C36</f>
        <v/>
      </c>
      <c r="D14" s="9" t="n">
        <v>5018.6</v>
      </c>
      <c r="E14" s="9" t="n">
        <v>5620.832</v>
      </c>
      <c r="F14" s="9" t="n">
        <v>6182.9152</v>
      </c>
      <c r="G14" s="9" t="n">
        <v>6677.548416000001</v>
      </c>
      <c r="H14" s="9" t="n">
        <v>7144.976805120001</v>
      </c>
      <c r="I14" s="2" t="n"/>
      <c r="J14" s="2" t="n"/>
      <c r="K14" s="2" t="n"/>
      <c r="L14" s="2" t="n"/>
    </row>
    <row r="15">
      <c r="A15" s="10" t="inlineStr">
        <is>
          <t>Total activo no corriente</t>
        </is>
      </c>
      <c r="B15" s="11">
        <f>Supuestos!B37</f>
        <v/>
      </c>
      <c r="C15" s="11">
        <f>Supuestos!C37</f>
        <v/>
      </c>
      <c r="D15" s="11" t="n">
        <v>21985.56864</v>
      </c>
      <c r="E15" s="11" t="n">
        <v>26209.0117888</v>
      </c>
      <c r="F15" s="11" t="n">
        <v>30480.778180224</v>
      </c>
      <c r="G15" s="11" t="n">
        <v>34691.73217077248</v>
      </c>
      <c r="H15" s="11" t="n">
        <v>38908.17734860084</v>
      </c>
      <c r="I15" s="2" t="n"/>
      <c r="J15" s="2" t="n"/>
      <c r="K15" s="2" t="n"/>
      <c r="L15" s="2" t="n"/>
    </row>
    <row r="16">
      <c r="A16" s="10" t="inlineStr">
        <is>
          <t>TOTAL ACTIVO</t>
        </is>
      </c>
      <c r="B16" s="11">
        <f>Supuestos!B38</f>
        <v/>
      </c>
      <c r="C16" s="11">
        <f>Supuestos!C38</f>
        <v/>
      </c>
      <c r="D16" s="11" t="n">
        <v>30247.9746159452</v>
      </c>
      <c r="E16" s="11" t="n">
        <v>35694.71789584208</v>
      </c>
      <c r="F16" s="11" t="n">
        <v>42141.91351656092</v>
      </c>
      <c r="G16" s="11" t="n">
        <v>49750.62759060528</v>
      </c>
      <c r="H16" s="11" t="n">
        <v>58648.2691955729</v>
      </c>
      <c r="I16" s="2" t="n"/>
      <c r="J16" s="2" t="n"/>
      <c r="K16" s="2" t="n"/>
      <c r="L16" s="2" t="n"/>
    </row>
    <row r="17">
      <c r="A17" s="2" t="n"/>
      <c r="B17" s="2" t="n"/>
      <c r="C17" s="2" t="n"/>
      <c r="D17" s="2" t="n"/>
      <c r="E17" s="2" t="n"/>
      <c r="F17" s="2" t="n"/>
      <c r="G17" s="2" t="n"/>
      <c r="H17" s="2" t="n"/>
      <c r="I17" s="2" t="n"/>
      <c r="J17" s="2" t="n"/>
      <c r="K17" s="2" t="n"/>
      <c r="L17" s="2" t="n"/>
    </row>
    <row r="18">
      <c r="A18" s="8" t="inlineStr">
        <is>
          <t>Cuentas por pagar comerciales</t>
        </is>
      </c>
      <c r="B18" s="9">
        <f>Supuestos!B40</f>
        <v/>
      </c>
      <c r="C18" s="9">
        <f>Supuestos!C40</f>
        <v/>
      </c>
      <c r="D18" s="9" t="n">
        <v>5623.448547945206</v>
      </c>
      <c r="E18" s="9" t="n">
        <v>6891.916158246576</v>
      </c>
      <c r="F18" s="9" t="n">
        <v>8156.888111342467</v>
      </c>
      <c r="G18" s="9" t="n">
        <v>9427.582972033053</v>
      </c>
      <c r="H18" s="9" t="n">
        <v>10688.60821263528</v>
      </c>
      <c r="I18" s="2" t="n"/>
      <c r="J18" s="2" t="n"/>
      <c r="K18" s="2" t="n"/>
      <c r="L18" s="2" t="n"/>
    </row>
    <row r="19">
      <c r="A19" s="8" t="inlineStr">
        <is>
          <t>Sueldos y cargas sociales</t>
        </is>
      </c>
      <c r="B19" s="9">
        <f>Supuestos!B41</f>
        <v/>
      </c>
      <c r="C19" s="9">
        <f>Supuestos!C41</f>
        <v/>
      </c>
      <c r="D19" s="9" t="n">
        <v>916</v>
      </c>
      <c r="E19" s="9" t="n">
        <v>916</v>
      </c>
      <c r="F19" s="9" t="n">
        <v>916</v>
      </c>
      <c r="G19" s="9" t="n">
        <v>916</v>
      </c>
      <c r="H19" s="9" t="n">
        <v>916</v>
      </c>
      <c r="I19" s="2" t="n"/>
      <c r="J19" s="2" t="n"/>
      <c r="K19" s="2" t="n"/>
      <c r="L19" s="2" t="n"/>
    </row>
    <row r="20">
      <c r="A20" s="8" t="inlineStr">
        <is>
          <t>Impuestos a pagar</t>
        </is>
      </c>
      <c r="B20" s="9">
        <f>Supuestos!B42</f>
        <v/>
      </c>
      <c r="C20" s="9">
        <f>Supuestos!C42</f>
        <v/>
      </c>
      <c r="D20" s="9" t="n">
        <v>1140</v>
      </c>
      <c r="E20" s="9" t="n">
        <v>1140</v>
      </c>
      <c r="F20" s="9" t="n">
        <v>1140</v>
      </c>
      <c r="G20" s="9" t="n">
        <v>1140</v>
      </c>
      <c r="H20" s="9" t="n">
        <v>1140</v>
      </c>
      <c r="I20" s="2" t="n"/>
      <c r="J20" s="2" t="n"/>
      <c r="K20" s="2" t="n"/>
      <c r="L20" s="2" t="n"/>
    </row>
    <row r="21">
      <c r="A21" s="8" t="inlineStr">
        <is>
          <t>Deuda financiera corriente</t>
        </is>
      </c>
      <c r="B21" s="9">
        <f>Supuestos!B43</f>
        <v/>
      </c>
      <c r="C21" s="9">
        <f>Supuestos!C43</f>
        <v/>
      </c>
      <c r="D21" s="9" t="n">
        <v>4854.15</v>
      </c>
      <c r="E21" s="9" t="n">
        <v>5096.857499999999</v>
      </c>
      <c r="F21" s="9" t="n">
        <v>5300.731799999999</v>
      </c>
      <c r="G21" s="9" t="n">
        <v>5512.761071999998</v>
      </c>
      <c r="H21" s="9" t="n">
        <v>5678.143904159999</v>
      </c>
      <c r="I21" s="2" t="n"/>
      <c r="J21" s="2" t="n"/>
      <c r="K21" s="2" t="n"/>
      <c r="L21" s="2" t="n"/>
    </row>
    <row r="22">
      <c r="A22" s="8" t="inlineStr">
        <is>
          <t>Pasivo por leasing corriente</t>
        </is>
      </c>
      <c r="B22" s="9">
        <f>Supuestos!B44</f>
        <v/>
      </c>
      <c r="C22" s="9">
        <f>Supuestos!C44</f>
        <v/>
      </c>
      <c r="D22" s="9" t="n">
        <v>430</v>
      </c>
      <c r="E22" s="9" t="n">
        <v>430</v>
      </c>
      <c r="F22" s="9" t="n">
        <v>430</v>
      </c>
      <c r="G22" s="9" t="n">
        <v>430</v>
      </c>
      <c r="H22" s="9" t="n">
        <v>430</v>
      </c>
      <c r="I22" s="2" t="n"/>
      <c r="J22" s="2" t="n"/>
      <c r="K22" s="2" t="n"/>
      <c r="L22" s="2" t="n"/>
    </row>
    <row r="23">
      <c r="A23" s="8" t="inlineStr">
        <is>
          <t>Otros pasivos corrientes</t>
        </is>
      </c>
      <c r="B23" s="9">
        <f>Supuestos!B45</f>
        <v/>
      </c>
      <c r="C23" s="9">
        <f>Supuestos!C45</f>
        <v/>
      </c>
      <c r="D23" s="9" t="n">
        <v>470.35</v>
      </c>
      <c r="E23" s="9" t="n">
        <v>526.792</v>
      </c>
      <c r="F23" s="9" t="n">
        <v>579.4712000000001</v>
      </c>
      <c r="G23" s="9" t="n">
        <v>625.8288960000001</v>
      </c>
      <c r="H23" s="9" t="n">
        <v>669.6369187200002</v>
      </c>
      <c r="I23" s="2" t="n"/>
      <c r="J23" s="2" t="n"/>
      <c r="K23" s="2" t="n"/>
      <c r="L23" s="2" t="n"/>
    </row>
    <row r="24">
      <c r="A24" s="10" t="inlineStr">
        <is>
          <t>Total pasivo corriente</t>
        </is>
      </c>
      <c r="B24" s="11">
        <f>Supuestos!B46</f>
        <v/>
      </c>
      <c r="C24" s="11">
        <f>Supuestos!C46</f>
        <v/>
      </c>
      <c r="D24" s="11" t="n">
        <v>13433.94854794521</v>
      </c>
      <c r="E24" s="11" t="n">
        <v>15001.56565824657</v>
      </c>
      <c r="F24" s="11" t="n">
        <v>16523.09111134247</v>
      </c>
      <c r="G24" s="11" t="n">
        <v>18052.17294003305</v>
      </c>
      <c r="H24" s="11" t="n">
        <v>19522.38903551528</v>
      </c>
      <c r="I24" s="2" t="n"/>
      <c r="J24" s="2" t="n"/>
      <c r="K24" s="2" t="n"/>
      <c r="L24" s="2" t="n"/>
    </row>
    <row r="25">
      <c r="A25" s="8" t="inlineStr">
        <is>
          <t>Deuda financiera no corriente</t>
        </is>
      </c>
      <c r="B25" s="9">
        <f>Supuestos!B47</f>
        <v/>
      </c>
      <c r="C25" s="9">
        <f>Supuestos!C47</f>
        <v/>
      </c>
      <c r="D25" s="9" t="n">
        <v>4798.5</v>
      </c>
      <c r="E25" s="9" t="n">
        <v>5038.425</v>
      </c>
      <c r="F25" s="9" t="n">
        <v>5239.962</v>
      </c>
      <c r="G25" s="9" t="n">
        <v>5449.560480000001</v>
      </c>
      <c r="H25" s="9" t="n">
        <v>5613.047294400001</v>
      </c>
      <c r="I25" s="2" t="n"/>
      <c r="J25" s="2" t="n"/>
      <c r="K25" s="2" t="n"/>
      <c r="L25" s="2" t="n"/>
    </row>
    <row r="26">
      <c r="A26" s="8" t="inlineStr">
        <is>
          <t>Pasivo por leasing no corriente</t>
        </is>
      </c>
      <c r="B26" s="9">
        <f>Supuestos!B48</f>
        <v/>
      </c>
      <c r="C26" s="9">
        <f>Supuestos!C48</f>
        <v/>
      </c>
      <c r="D26" s="9" t="n">
        <v>1769</v>
      </c>
      <c r="E26" s="9" t="n">
        <v>1769</v>
      </c>
      <c r="F26" s="9" t="n">
        <v>1769</v>
      </c>
      <c r="G26" s="9" t="n">
        <v>1769</v>
      </c>
      <c r="H26" s="9" t="n">
        <v>1769</v>
      </c>
      <c r="I26" s="2" t="n"/>
      <c r="J26" s="2" t="n"/>
      <c r="K26" s="2" t="n"/>
      <c r="L26" s="2" t="n"/>
    </row>
    <row r="27">
      <c r="A27" s="8" t="inlineStr">
        <is>
          <t>Impuesto diferido pasivo</t>
        </is>
      </c>
      <c r="B27" s="9">
        <f>Supuestos!B49</f>
        <v/>
      </c>
      <c r="C27" s="9">
        <f>Supuestos!C49</f>
        <v/>
      </c>
      <c r="D27" s="9" t="n">
        <v>372</v>
      </c>
      <c r="E27" s="9" t="n">
        <v>372</v>
      </c>
      <c r="F27" s="9" t="n">
        <v>372</v>
      </c>
      <c r="G27" s="9" t="n">
        <v>372</v>
      </c>
      <c r="H27" s="9" t="n">
        <v>372</v>
      </c>
      <c r="I27" s="2" t="n"/>
      <c r="J27" s="2" t="n"/>
      <c r="K27" s="2" t="n"/>
      <c r="L27" s="2" t="n"/>
    </row>
    <row r="28">
      <c r="A28" s="8" t="inlineStr">
        <is>
          <t>Otros pasivos no corrientes</t>
        </is>
      </c>
      <c r="B28" s="9">
        <f>Supuestos!B50</f>
        <v/>
      </c>
      <c r="C28" s="9">
        <f>Supuestos!C50</f>
        <v/>
      </c>
      <c r="D28" s="9" t="n">
        <v>446.2</v>
      </c>
      <c r="E28" s="9" t="n">
        <v>499.744</v>
      </c>
      <c r="F28" s="9" t="n">
        <v>549.7184</v>
      </c>
      <c r="G28" s="9" t="n">
        <v>593.695872</v>
      </c>
      <c r="H28" s="9" t="n">
        <v>635.2545830400001</v>
      </c>
      <c r="I28" s="2" t="n"/>
      <c r="J28" s="2" t="n"/>
      <c r="K28" s="2" t="n"/>
      <c r="L28" s="2" t="n"/>
    </row>
    <row r="29">
      <c r="A29" s="10" t="inlineStr">
        <is>
          <t>Total pasivo no corriente</t>
        </is>
      </c>
      <c r="B29" s="11">
        <f>Supuestos!B51</f>
        <v/>
      </c>
      <c r="C29" s="11">
        <f>Supuestos!C51</f>
        <v/>
      </c>
      <c r="D29" s="11" t="n">
        <v>7385.7</v>
      </c>
      <c r="E29" s="11" t="n">
        <v>7679.169</v>
      </c>
      <c r="F29" s="11" t="n">
        <v>7930.6804</v>
      </c>
      <c r="G29" s="11" t="n">
        <v>8184.256352000001</v>
      </c>
      <c r="H29" s="11" t="n">
        <v>8389.301877440001</v>
      </c>
      <c r="I29" s="2" t="n"/>
      <c r="J29" s="2" t="n"/>
      <c r="K29" s="2" t="n"/>
      <c r="L29" s="2" t="n"/>
    </row>
    <row r="30">
      <c r="A30" s="10" t="inlineStr">
        <is>
          <t>TOTAL PASIVO</t>
        </is>
      </c>
      <c r="B30" s="11">
        <f>Supuestos!B52</f>
        <v/>
      </c>
      <c r="C30" s="11">
        <f>Supuestos!C52</f>
        <v/>
      </c>
      <c r="D30" s="11" t="n">
        <v>20819.64854794521</v>
      </c>
      <c r="E30" s="11" t="n">
        <v>22680.73465824658</v>
      </c>
      <c r="F30" s="11" t="n">
        <v>24453.77151134247</v>
      </c>
      <c r="G30" s="11" t="n">
        <v>26236.42929203305</v>
      </c>
      <c r="H30" s="11" t="n">
        <v>27911.69091295528</v>
      </c>
      <c r="I30" s="2" t="n"/>
      <c r="J30" s="2" t="n"/>
      <c r="K30" s="2" t="n"/>
      <c r="L30" s="2" t="n"/>
    </row>
    <row r="31">
      <c r="A31" s="2" t="n"/>
      <c r="B31" s="2" t="n"/>
      <c r="C31" s="2" t="n"/>
      <c r="D31" s="2" t="n"/>
      <c r="E31" s="2" t="n"/>
      <c r="F31" s="2" t="n"/>
      <c r="G31" s="2" t="n"/>
      <c r="H31" s="2" t="n"/>
      <c r="I31" s="2" t="n"/>
      <c r="J31" s="2" t="n"/>
      <c r="K31" s="2" t="n"/>
      <c r="L31" s="2" t="n"/>
    </row>
    <row r="32">
      <c r="A32" s="8" t="inlineStr">
        <is>
          <t>Capital + prima de emision</t>
        </is>
      </c>
      <c r="B32" s="9">
        <f>Supuestos!B54</f>
        <v/>
      </c>
      <c r="C32" s="9">
        <f>Supuestos!C54</f>
        <v/>
      </c>
      <c r="D32" s="9" t="n">
        <v>1771</v>
      </c>
      <c r="E32" s="9" t="n">
        <v>1771</v>
      </c>
      <c r="F32" s="9" t="n">
        <v>1771</v>
      </c>
      <c r="G32" s="9" t="n">
        <v>1771</v>
      </c>
      <c r="H32" s="9" t="n">
        <v>1771</v>
      </c>
      <c r="I32" s="2" t="n"/>
      <c r="J32" s="2" t="n"/>
      <c r="K32" s="2" t="n"/>
      <c r="L32" s="2" t="n"/>
    </row>
    <row r="33">
      <c r="A33" s="8" t="inlineStr">
        <is>
          <t>Acciones en tesoreria</t>
        </is>
      </c>
      <c r="B33" s="9">
        <f>Supuestos!B55</f>
        <v/>
      </c>
      <c r="C33" s="9">
        <f>Supuestos!C55</f>
        <v/>
      </c>
      <c r="D33" s="9" t="n">
        <v>-312</v>
      </c>
      <c r="E33" s="9" t="n">
        <v>-312</v>
      </c>
      <c r="F33" s="9" t="n">
        <v>-312</v>
      </c>
      <c r="G33" s="9" t="n">
        <v>-312</v>
      </c>
      <c r="H33" s="9" t="n">
        <v>-312</v>
      </c>
      <c r="I33" s="2" t="n"/>
      <c r="J33" s="2" t="n"/>
      <c r="K33" s="2" t="n"/>
      <c r="L33" s="2" t="n"/>
    </row>
    <row r="34">
      <c r="A34" s="8" t="inlineStr">
        <is>
          <t>Ganancias retenidas</t>
        </is>
      </c>
      <c r="B34" s="9">
        <f>Supuestos!B56</f>
        <v/>
      </c>
      <c r="C34" s="9">
        <f>Supuestos!C56</f>
        <v/>
      </c>
      <c r="D34" s="9" t="n">
        <v>8489.326068</v>
      </c>
      <c r="E34" s="9" t="n">
        <v>12074.98323759551</v>
      </c>
      <c r="F34" s="9" t="n">
        <v>16749.14200521845</v>
      </c>
      <c r="G34" s="9" t="n">
        <v>22575.19829857222</v>
      </c>
      <c r="H34" s="9" t="n">
        <v>29797.57828261761</v>
      </c>
      <c r="I34" s="2" t="n"/>
      <c r="J34" s="2" t="n"/>
      <c r="K34" s="2" t="n"/>
      <c r="L34" s="2" t="n"/>
    </row>
    <row r="35">
      <c r="A35" s="8" t="inlineStr">
        <is>
          <t>ORI acumulado</t>
        </is>
      </c>
      <c r="B35" s="9">
        <f>Supuestos!B57</f>
        <v/>
      </c>
      <c r="C35" s="9">
        <f>Supuestos!C57</f>
        <v/>
      </c>
      <c r="D35" s="9" t="n">
        <v>-520</v>
      </c>
      <c r="E35" s="9" t="n">
        <v>-520</v>
      </c>
      <c r="F35" s="9" t="n">
        <v>-520</v>
      </c>
      <c r="G35" s="9" t="n">
        <v>-520</v>
      </c>
      <c r="H35" s="9" t="n">
        <v>-520</v>
      </c>
      <c r="I35" s="2" t="n"/>
      <c r="J35" s="2" t="n"/>
      <c r="K35" s="2" t="n"/>
      <c r="L35" s="2" t="n"/>
    </row>
    <row r="36">
      <c r="A36" s="10" t="inlineStr">
        <is>
          <t>TOTAL PATRIMONIO</t>
        </is>
      </c>
      <c r="B36" s="11">
        <f>Supuestos!B58</f>
        <v/>
      </c>
      <c r="C36" s="11">
        <f>Supuestos!C58</f>
        <v/>
      </c>
      <c r="D36" s="11" t="n">
        <v>9428.326068</v>
      </c>
      <c r="E36" s="11" t="n">
        <v>13013.98323759551</v>
      </c>
      <c r="F36" s="11" t="n">
        <v>17688.14200521845</v>
      </c>
      <c r="G36" s="11" t="n">
        <v>23514.19829857222</v>
      </c>
      <c r="H36" s="11" t="n">
        <v>30736.57828261761</v>
      </c>
      <c r="I36" s="2" t="n"/>
      <c r="J36" s="2" t="n"/>
      <c r="K36" s="2" t="n"/>
      <c r="L36" s="2" t="n"/>
    </row>
    <row r="37">
      <c r="A37" s="2" t="n"/>
      <c r="B37" s="2" t="n"/>
      <c r="C37" s="2" t="n"/>
      <c r="D37" s="2" t="n"/>
      <c r="E37" s="2" t="n"/>
      <c r="F37" s="2" t="n"/>
      <c r="G37" s="2" t="n"/>
      <c r="H37" s="2" t="n"/>
      <c r="I37" s="2" t="n"/>
      <c r="J37" s="2" t="n"/>
      <c r="K37" s="2" t="n"/>
      <c r="L37" s="2" t="n"/>
    </row>
    <row r="38">
      <c r="A38" s="8" t="inlineStr">
        <is>
          <t>Check: Activo - Pasivo - Patrimonio</t>
        </is>
      </c>
      <c r="B38" s="12">
        <f>B16-B30-B36</f>
        <v/>
      </c>
      <c r="C38" s="12">
        <f>C16-C30-C36</f>
        <v/>
      </c>
      <c r="D38" s="12" t="n">
        <v>-1.818989403545856e-12</v>
      </c>
      <c r="E38" s="12" t="n">
        <v>0</v>
      </c>
      <c r="F38" s="12" t="n">
        <v>3.637978807091713e-12</v>
      </c>
      <c r="G38" s="12" t="n">
        <v>0</v>
      </c>
      <c r="H38" s="12" t="n">
        <v>3.637978807091713e-12</v>
      </c>
      <c r="I38" s="2" t="n"/>
      <c r="J38" s="2" t="n"/>
      <c r="K38" s="2" t="n"/>
      <c r="L38" s="2" t="n"/>
    </row>
    <row r="39">
      <c r="A39" s="2" t="n"/>
      <c r="B39" s="2" t="n"/>
      <c r="C39" s="2" t="n"/>
      <c r="D39" s="2" t="n"/>
      <c r="E39" s="2" t="n"/>
      <c r="F39" s="2" t="n"/>
      <c r="G39" s="2" t="n"/>
      <c r="H39" s="2" t="n"/>
      <c r="I39" s="2" t="n"/>
      <c r="J39" s="2" t="n"/>
      <c r="K39" s="2" t="n"/>
      <c r="L39" s="2" t="n"/>
    </row>
    <row r="40">
      <c r="A40" s="2" t="n"/>
      <c r="B40" s="2" t="n"/>
      <c r="C40" s="2" t="n"/>
      <c r="D40" s="2" t="n"/>
      <c r="E40" s="2" t="n"/>
      <c r="F40" s="2" t="n"/>
      <c r="G40" s="2" t="n"/>
      <c r="H40" s="2" t="n"/>
      <c r="I40" s="2" t="n"/>
      <c r="J40" s="2" t="n"/>
      <c r="K40" s="2" t="n"/>
      <c r="L40" s="2" t="n"/>
    </row>
    <row r="41">
      <c r="A41" s="2" t="n"/>
      <c r="B41" s="2" t="n"/>
      <c r="C41" s="2" t="n"/>
      <c r="D41" s="2" t="n"/>
      <c r="E41" s="2" t="n"/>
      <c r="F41" s="2" t="n"/>
      <c r="G41" s="2" t="n"/>
      <c r="H41" s="2" t="n"/>
      <c r="I41" s="2" t="n"/>
      <c r="J41" s="2" t="n"/>
      <c r="K41" s="2" t="n"/>
      <c r="L41" s="2" t="n"/>
    </row>
    <row r="42">
      <c r="A42" s="2" t="n"/>
      <c r="B42" s="2" t="n"/>
      <c r="C42" s="2" t="n"/>
      <c r="D42" s="2" t="n"/>
      <c r="E42" s="2" t="n"/>
      <c r="F42" s="2" t="n"/>
      <c r="G42" s="2" t="n"/>
      <c r="H42" s="2" t="n"/>
      <c r="I42" s="2" t="n"/>
      <c r="J42" s="2" t="n"/>
      <c r="K42" s="2" t="n"/>
      <c r="L42" s="2" t="n"/>
    </row>
    <row r="43">
      <c r="A43" s="2" t="n"/>
      <c r="B43" s="2" t="n"/>
      <c r="C43" s="2" t="n"/>
      <c r="D43" s="2" t="n"/>
      <c r="E43" s="2" t="n"/>
      <c r="F43" s="2" t="n"/>
      <c r="G43" s="2" t="n"/>
      <c r="H43" s="2" t="n"/>
      <c r="I43" s="2" t="n"/>
      <c r="J43" s="2" t="n"/>
      <c r="K43" s="2" t="n"/>
      <c r="L43" s="2" t="n"/>
    </row>
    <row r="44">
      <c r="A44" s="2" t="n"/>
      <c r="B44" s="2" t="n"/>
      <c r="C44" s="2" t="n"/>
      <c r="D44" s="2" t="n"/>
      <c r="E44" s="2" t="n"/>
      <c r="F44" s="2" t="n"/>
      <c r="G44" s="2" t="n"/>
      <c r="H44" s="2" t="n"/>
      <c r="I44" s="2" t="n"/>
      <c r="J44" s="2" t="n"/>
      <c r="K44" s="2" t="n"/>
      <c r="L44" s="2" t="n"/>
    </row>
    <row r="45">
      <c r="A45" s="2" t="n"/>
      <c r="B45" s="2" t="n"/>
      <c r="C45" s="2" t="n"/>
      <c r="D45" s="2" t="n"/>
      <c r="E45" s="2" t="n"/>
      <c r="F45" s="2" t="n"/>
      <c r="G45" s="2" t="n"/>
      <c r="H45" s="2" t="n"/>
      <c r="I45" s="2" t="n"/>
      <c r="J45" s="2" t="n"/>
      <c r="K45" s="2" t="n"/>
      <c r="L45" s="2" t="n"/>
    </row>
    <row r="46">
      <c r="A46" s="2" t="n"/>
      <c r="B46" s="2" t="n"/>
      <c r="C46" s="2" t="n"/>
      <c r="D46" s="2" t="n"/>
      <c r="E46" s="2" t="n"/>
      <c r="F46" s="2" t="n"/>
      <c r="G46" s="2" t="n"/>
      <c r="H46" s="2" t="n"/>
      <c r="I46" s="2" t="n"/>
      <c r="J46" s="2" t="n"/>
      <c r="K46" s="2" t="n"/>
      <c r="L46" s="2" t="n"/>
    </row>
    <row r="47">
      <c r="A47" s="2" t="n"/>
      <c r="B47" s="2" t="n"/>
      <c r="C47" s="2" t="n"/>
      <c r="D47" s="2" t="n"/>
      <c r="E47" s="2" t="n"/>
      <c r="F47" s="2" t="n"/>
      <c r="G47" s="2" t="n"/>
      <c r="H47" s="2" t="n"/>
      <c r="I47" s="2" t="n"/>
      <c r="J47" s="2" t="n"/>
      <c r="K47" s="2" t="n"/>
      <c r="L47" s="2" t="n"/>
    </row>
    <row r="48">
      <c r="A48" s="2" t="n"/>
      <c r="B48" s="2" t="n"/>
      <c r="C48" s="2" t="n"/>
      <c r="D48" s="2" t="n"/>
      <c r="E48" s="2" t="n"/>
      <c r="F48" s="2" t="n"/>
      <c r="G48" s="2" t="n"/>
      <c r="H48" s="2" t="n"/>
      <c r="I48" s="2" t="n"/>
      <c r="J48" s="2" t="n"/>
      <c r="K48" s="2" t="n"/>
      <c r="L48" s="2" t="n"/>
    </row>
    <row r="49">
      <c r="A49" s="2" t="n"/>
      <c r="B49" s="2" t="n"/>
      <c r="C49" s="2" t="n"/>
      <c r="D49" s="2" t="n"/>
      <c r="E49" s="2" t="n"/>
      <c r="F49" s="2" t="n"/>
      <c r="G49" s="2" t="n"/>
      <c r="H49" s="2" t="n"/>
      <c r="I49" s="2" t="n"/>
      <c r="J49" s="2" t="n"/>
      <c r="K49" s="2" t="n"/>
      <c r="L49" s="2" t="n"/>
    </row>
    <row r="50">
      <c r="A50" s="2" t="n"/>
      <c r="B50" s="2" t="n"/>
      <c r="C50" s="2" t="n"/>
      <c r="D50" s="2" t="n"/>
      <c r="E50" s="2" t="n"/>
      <c r="F50" s="2" t="n"/>
      <c r="G50" s="2" t="n"/>
      <c r="H50" s="2" t="n"/>
      <c r="I50" s="2" t="n"/>
      <c r="J50" s="2" t="n"/>
      <c r="K50" s="2" t="n"/>
      <c r="L50" s="2" t="n"/>
    </row>
    <row r="51">
      <c r="A51" s="2" t="n"/>
      <c r="B51" s="2" t="n"/>
      <c r="C51" s="2" t="n"/>
      <c r="D51" s="2" t="n"/>
      <c r="E51" s="2" t="n"/>
      <c r="F51" s="2" t="n"/>
      <c r="G51" s="2" t="n"/>
      <c r="H51" s="2" t="n"/>
      <c r="I51" s="2" t="n"/>
      <c r="J51" s="2" t="n"/>
      <c r="K51" s="2" t="n"/>
      <c r="L51" s="2" t="n"/>
    </row>
    <row r="52">
      <c r="A52" s="2" t="n"/>
      <c r="B52" s="2" t="n"/>
      <c r="C52" s="2" t="n"/>
      <c r="D52" s="2" t="n"/>
      <c r="E52" s="2" t="n"/>
      <c r="F52" s="2" t="n"/>
      <c r="G52" s="2" t="n"/>
      <c r="H52" s="2" t="n"/>
      <c r="I52" s="2" t="n"/>
      <c r="J52" s="2" t="n"/>
      <c r="K52" s="2" t="n"/>
      <c r="L52" s="2" t="n"/>
    </row>
    <row r="53">
      <c r="A53" s="2" t="n"/>
      <c r="B53" s="2" t="n"/>
      <c r="C53" s="2" t="n"/>
      <c r="D53" s="2" t="n"/>
      <c r="E53" s="2" t="n"/>
      <c r="F53" s="2" t="n"/>
      <c r="G53" s="2" t="n"/>
      <c r="H53" s="2" t="n"/>
      <c r="I53" s="2" t="n"/>
      <c r="J53" s="2" t="n"/>
      <c r="K53" s="2" t="n"/>
      <c r="L53" s="2" t="n"/>
    </row>
    <row r="54">
      <c r="A54" s="2" t="n"/>
      <c r="B54" s="2" t="n"/>
      <c r="C54" s="2" t="n"/>
      <c r="D54" s="2" t="n"/>
      <c r="E54" s="2" t="n"/>
      <c r="F54" s="2" t="n"/>
      <c r="G54" s="2" t="n"/>
      <c r="H54" s="2" t="n"/>
      <c r="I54" s="2" t="n"/>
      <c r="J54" s="2" t="n"/>
      <c r="K54" s="2" t="n"/>
      <c r="L54" s="2" t="n"/>
    </row>
    <row r="55">
      <c r="A55" s="2" t="n"/>
      <c r="B55" s="2" t="n"/>
      <c r="C55" s="2" t="n"/>
      <c r="D55" s="2" t="n"/>
      <c r="E55" s="2" t="n"/>
      <c r="F55" s="2" t="n"/>
      <c r="G55" s="2" t="n"/>
      <c r="H55" s="2" t="n"/>
      <c r="I55" s="2" t="n"/>
      <c r="J55" s="2" t="n"/>
      <c r="K55" s="2" t="n"/>
      <c r="L55" s="2" t="n"/>
    </row>
    <row r="56">
      <c r="A56" s="2" t="n"/>
      <c r="B56" s="2" t="n"/>
      <c r="C56" s="2" t="n"/>
      <c r="D56" s="2" t="n"/>
      <c r="E56" s="2" t="n"/>
      <c r="F56" s="2" t="n"/>
      <c r="G56" s="2" t="n"/>
      <c r="H56" s="2" t="n"/>
      <c r="I56" s="2" t="n"/>
      <c r="J56" s="2" t="n"/>
      <c r="K56" s="2" t="n"/>
      <c r="L56" s="2" t="n"/>
    </row>
    <row r="57">
      <c r="A57" s="2" t="n"/>
      <c r="B57" s="2" t="n"/>
      <c r="C57" s="2" t="n"/>
      <c r="D57" s="2" t="n"/>
      <c r="E57" s="2" t="n"/>
      <c r="F57" s="2" t="n"/>
      <c r="G57" s="2" t="n"/>
      <c r="H57" s="2" t="n"/>
      <c r="I57" s="2" t="n"/>
      <c r="J57" s="2" t="n"/>
      <c r="K57" s="2" t="n"/>
      <c r="L57" s="2" t="n"/>
    </row>
    <row r="58">
      <c r="A58" s="2" t="n"/>
      <c r="B58" s="2" t="n"/>
      <c r="C58" s="2" t="n"/>
      <c r="D58" s="2" t="n"/>
      <c r="E58" s="2" t="n"/>
      <c r="F58" s="2" t="n"/>
      <c r="G58" s="2" t="n"/>
      <c r="H58" s="2" t="n"/>
      <c r="I58" s="2" t="n"/>
      <c r="J58" s="2" t="n"/>
      <c r="K58" s="2" t="n"/>
      <c r="L58" s="2" t="n"/>
    </row>
    <row r="59">
      <c r="A59" s="2" t="n"/>
      <c r="B59" s="2" t="n"/>
      <c r="C59" s="2" t="n"/>
      <c r="D59" s="2" t="n"/>
      <c r="E59" s="2" t="n"/>
      <c r="F59" s="2" t="n"/>
      <c r="G59" s="2" t="n"/>
      <c r="H59" s="2" t="n"/>
      <c r="I59" s="2" t="n"/>
      <c r="J59" s="2" t="n"/>
      <c r="K59" s="2" t="n"/>
      <c r="L59" s="2" t="n"/>
    </row>
    <row r="60">
      <c r="A60" s="2" t="n"/>
      <c r="B60" s="2" t="n"/>
      <c r="C60" s="2" t="n"/>
      <c r="D60" s="2" t="n"/>
      <c r="E60" s="2" t="n"/>
      <c r="F60" s="2" t="n"/>
      <c r="G60" s="2" t="n"/>
      <c r="H60" s="2" t="n"/>
      <c r="I60" s="2" t="n"/>
      <c r="J60" s="2" t="n"/>
      <c r="K60" s="2" t="n"/>
      <c r="L60" s="2" t="n"/>
    </row>
    <row r="61">
      <c r="A61" s="2" t="n"/>
      <c r="B61" s="2" t="n"/>
      <c r="C61" s="2" t="n"/>
      <c r="D61" s="2" t="n"/>
      <c r="E61" s="2" t="n"/>
      <c r="F61" s="2" t="n"/>
      <c r="G61" s="2" t="n"/>
      <c r="H61" s="2" t="n"/>
      <c r="I61" s="2" t="n"/>
      <c r="J61" s="2" t="n"/>
      <c r="K61" s="2" t="n"/>
      <c r="L61" s="2" t="n"/>
    </row>
    <row r="62">
      <c r="A62" s="2" t="n"/>
      <c r="B62" s="2" t="n"/>
      <c r="C62" s="2" t="n"/>
      <c r="D62" s="2" t="n"/>
      <c r="E62" s="2" t="n"/>
      <c r="F62" s="2" t="n"/>
      <c r="G62" s="2" t="n"/>
      <c r="H62" s="2" t="n"/>
      <c r="I62" s="2" t="n"/>
      <c r="J62" s="2" t="n"/>
      <c r="K62" s="2" t="n"/>
      <c r="L62" s="2" t="n"/>
    </row>
    <row r="63">
      <c r="A63" s="2" t="n"/>
      <c r="B63" s="2" t="n"/>
      <c r="C63" s="2" t="n"/>
      <c r="D63" s="2" t="n"/>
      <c r="E63" s="2" t="n"/>
      <c r="F63" s="2" t="n"/>
      <c r="G63" s="2" t="n"/>
      <c r="H63" s="2" t="n"/>
      <c r="I63" s="2" t="n"/>
      <c r="J63" s="2" t="n"/>
      <c r="K63" s="2" t="n"/>
      <c r="L63" s="2" t="n"/>
    </row>
    <row r="64">
      <c r="A64" s="2" t="n"/>
      <c r="B64" s="2" t="n"/>
      <c r="C64" s="2" t="n"/>
      <c r="D64" s="2" t="n"/>
      <c r="E64" s="2" t="n"/>
      <c r="F64" s="2" t="n"/>
      <c r="G64" s="2" t="n"/>
      <c r="H64" s="2" t="n"/>
      <c r="I64" s="2" t="n"/>
      <c r="J64" s="2" t="n"/>
      <c r="K64" s="2" t="n"/>
      <c r="L64" s="2" t="n"/>
    </row>
    <row r="65">
      <c r="A65" s="2" t="n"/>
      <c r="B65" s="2" t="n"/>
      <c r="C65" s="2" t="n"/>
      <c r="D65" s="2" t="n"/>
      <c r="E65" s="2" t="n"/>
      <c r="F65" s="2" t="n"/>
      <c r="G65" s="2" t="n"/>
      <c r="H65" s="2" t="n"/>
      <c r="I65" s="2" t="n"/>
      <c r="J65" s="2" t="n"/>
      <c r="K65" s="2" t="n"/>
      <c r="L65" s="2" t="n"/>
    </row>
    <row r="66">
      <c r="A66" s="2" t="n"/>
      <c r="B66" s="2" t="n"/>
      <c r="C66" s="2" t="n"/>
      <c r="D66" s="2" t="n"/>
      <c r="E66" s="2" t="n"/>
      <c r="F66" s="2" t="n"/>
      <c r="G66" s="2" t="n"/>
      <c r="H66" s="2" t="n"/>
      <c r="I66" s="2" t="n"/>
      <c r="J66" s="2" t="n"/>
      <c r="K66" s="2" t="n"/>
      <c r="L66" s="2" t="n"/>
    </row>
    <row r="67">
      <c r="A67" s="2" t="n"/>
      <c r="B67" s="2" t="n"/>
      <c r="C67" s="2" t="n"/>
      <c r="D67" s="2" t="n"/>
      <c r="E67" s="2" t="n"/>
      <c r="F67" s="2" t="n"/>
      <c r="G67" s="2" t="n"/>
      <c r="H67" s="2" t="n"/>
      <c r="I67" s="2" t="n"/>
      <c r="J67" s="2" t="n"/>
      <c r="K67" s="2" t="n"/>
      <c r="L67" s="2" t="n"/>
    </row>
    <row r="68">
      <c r="A68" s="2" t="n"/>
      <c r="B68" s="2" t="n"/>
      <c r="C68" s="2" t="n"/>
      <c r="D68" s="2" t="n"/>
      <c r="E68" s="2" t="n"/>
      <c r="F68" s="2" t="n"/>
      <c r="G68" s="2" t="n"/>
      <c r="H68" s="2" t="n"/>
      <c r="I68" s="2" t="n"/>
      <c r="J68" s="2" t="n"/>
      <c r="K68" s="2" t="n"/>
      <c r="L68" s="2" t="n"/>
    </row>
    <row r="69">
      <c r="A69" s="2" t="n"/>
      <c r="B69" s="2" t="n"/>
      <c r="C69" s="2" t="n"/>
      <c r="D69" s="2" t="n"/>
      <c r="E69" s="2" t="n"/>
      <c r="F69" s="2" t="n"/>
      <c r="G69" s="2" t="n"/>
      <c r="H69" s="2" t="n"/>
      <c r="I69" s="2" t="n"/>
      <c r="J69" s="2" t="n"/>
      <c r="K69" s="2" t="n"/>
      <c r="L69" s="2" t="n"/>
    </row>
    <row r="70">
      <c r="A70" s="2" t="n"/>
      <c r="B70" s="2" t="n"/>
      <c r="C70" s="2" t="n"/>
      <c r="D70" s="2" t="n"/>
      <c r="E70" s="2" t="n"/>
      <c r="F70" s="2" t="n"/>
      <c r="G70" s="2" t="n"/>
      <c r="H70" s="2" t="n"/>
      <c r="I70" s="2" t="n"/>
      <c r="J70" s="2" t="n"/>
      <c r="K70" s="2" t="n"/>
      <c r="L70" s="2" t="n"/>
    </row>
    <row r="71">
      <c r="A71" s="2" t="n"/>
      <c r="B71" s="2" t="n"/>
      <c r="C71" s="2" t="n"/>
      <c r="D71" s="2" t="n"/>
      <c r="E71" s="2" t="n"/>
      <c r="F71" s="2" t="n"/>
      <c r="G71" s="2" t="n"/>
      <c r="H71" s="2" t="n"/>
      <c r="I71" s="2" t="n"/>
      <c r="J71" s="2" t="n"/>
      <c r="K71" s="2" t="n"/>
      <c r="L71" s="2" t="n"/>
    </row>
    <row r="72">
      <c r="A72" s="2" t="n"/>
      <c r="B72" s="2" t="n"/>
      <c r="C72" s="2" t="n"/>
      <c r="D72" s="2" t="n"/>
      <c r="E72" s="2" t="n"/>
      <c r="F72" s="2" t="n"/>
      <c r="G72" s="2" t="n"/>
      <c r="H72" s="2" t="n"/>
      <c r="I72" s="2" t="n"/>
      <c r="J72" s="2" t="n"/>
      <c r="K72" s="2" t="n"/>
      <c r="L72" s="2" t="n"/>
    </row>
    <row r="73">
      <c r="A73" s="2" t="n"/>
      <c r="B73" s="2" t="n"/>
      <c r="C73" s="2" t="n"/>
      <c r="D73" s="2" t="n"/>
      <c r="E73" s="2" t="n"/>
      <c r="F73" s="2" t="n"/>
      <c r="G73" s="2" t="n"/>
      <c r="H73" s="2" t="n"/>
      <c r="I73" s="2" t="n"/>
      <c r="J73" s="2" t="n"/>
      <c r="K73" s="2" t="n"/>
      <c r="L73" s="2" t="n"/>
    </row>
    <row r="74">
      <c r="A74" s="2" t="n"/>
      <c r="B74" s="2" t="n"/>
      <c r="C74" s="2" t="n"/>
      <c r="D74" s="2" t="n"/>
      <c r="E74" s="2" t="n"/>
      <c r="F74" s="2" t="n"/>
      <c r="G74" s="2" t="n"/>
      <c r="H74" s="2" t="n"/>
      <c r="I74" s="2" t="n"/>
      <c r="J74" s="2" t="n"/>
      <c r="K74" s="2" t="n"/>
      <c r="L74" s="2" t="n"/>
    </row>
    <row r="75">
      <c r="A75" s="2" t="n"/>
      <c r="B75" s="2" t="n"/>
      <c r="C75" s="2" t="n"/>
      <c r="D75" s="2" t="n"/>
      <c r="E75" s="2" t="n"/>
      <c r="F75" s="2" t="n"/>
      <c r="G75" s="2" t="n"/>
      <c r="H75" s="2" t="n"/>
      <c r="I75" s="2" t="n"/>
      <c r="J75" s="2" t="n"/>
      <c r="K75" s="2" t="n"/>
      <c r="L75" s="2" t="n"/>
    </row>
    <row r="76">
      <c r="A76" s="2" t="n"/>
      <c r="B76" s="2" t="n"/>
      <c r="C76" s="2" t="n"/>
      <c r="D76" s="2" t="n"/>
      <c r="E76" s="2" t="n"/>
      <c r="F76" s="2" t="n"/>
      <c r="G76" s="2" t="n"/>
      <c r="H76" s="2" t="n"/>
      <c r="I76" s="2" t="n"/>
      <c r="J76" s="2" t="n"/>
      <c r="K76" s="2" t="n"/>
      <c r="L76" s="2" t="n"/>
    </row>
    <row r="77">
      <c r="A77" s="2" t="n"/>
      <c r="B77" s="2" t="n"/>
      <c r="C77" s="2" t="n"/>
      <c r="D77" s="2" t="n"/>
      <c r="E77" s="2" t="n"/>
      <c r="F77" s="2" t="n"/>
      <c r="G77" s="2" t="n"/>
      <c r="H77" s="2" t="n"/>
      <c r="I77" s="2" t="n"/>
      <c r="J77" s="2" t="n"/>
      <c r="K77" s="2" t="n"/>
      <c r="L77" s="2" t="n"/>
    </row>
    <row r="78">
      <c r="A78" s="2" t="n"/>
      <c r="B78" s="2" t="n"/>
      <c r="C78" s="2" t="n"/>
      <c r="D78" s="2" t="n"/>
      <c r="E78" s="2" t="n"/>
      <c r="F78" s="2" t="n"/>
      <c r="G78" s="2" t="n"/>
      <c r="H78" s="2" t="n"/>
      <c r="I78" s="2" t="n"/>
      <c r="J78" s="2" t="n"/>
      <c r="K78" s="2" t="n"/>
      <c r="L78" s="2" t="n"/>
    </row>
    <row r="79">
      <c r="A79" s="2" t="n"/>
      <c r="B79" s="2" t="n"/>
      <c r="C79" s="2" t="n"/>
      <c r="D79" s="2" t="n"/>
      <c r="E79" s="2" t="n"/>
      <c r="F79" s="2" t="n"/>
      <c r="G79" s="2" t="n"/>
      <c r="H79" s="2" t="n"/>
      <c r="I79" s="2" t="n"/>
      <c r="J79" s="2" t="n"/>
      <c r="K79" s="2" t="n"/>
      <c r="L79" s="2" t="n"/>
    </row>
    <row r="80">
      <c r="A80" s="2" t="n"/>
      <c r="B80" s="2" t="n"/>
      <c r="C80" s="2" t="n"/>
      <c r="D80" s="2" t="n"/>
      <c r="E80" s="2" t="n"/>
      <c r="F80" s="2" t="n"/>
      <c r="G80" s="2" t="n"/>
      <c r="H80" s="2" t="n"/>
      <c r="I80" s="2" t="n"/>
      <c r="J80" s="2" t="n"/>
      <c r="K80" s="2" t="n"/>
      <c r="L80" s="2" t="n"/>
    </row>
    <row r="81">
      <c r="A81" s="2" t="n"/>
      <c r="B81" s="2" t="n"/>
      <c r="C81" s="2" t="n"/>
      <c r="D81" s="2" t="n"/>
      <c r="E81" s="2" t="n"/>
      <c r="F81" s="2" t="n"/>
      <c r="G81" s="2" t="n"/>
      <c r="H81" s="2" t="n"/>
      <c r="I81" s="2" t="n"/>
      <c r="J81" s="2" t="n"/>
      <c r="K81" s="2" t="n"/>
      <c r="L81" s="2" t="n"/>
    </row>
    <row r="82">
      <c r="A82" s="2" t="n"/>
      <c r="B82" s="2" t="n"/>
      <c r="C82" s="2" t="n"/>
      <c r="D82" s="2" t="n"/>
      <c r="E82" s="2" t="n"/>
      <c r="F82" s="2" t="n"/>
      <c r="G82" s="2" t="n"/>
      <c r="H82" s="2" t="n"/>
      <c r="I82" s="2" t="n"/>
      <c r="J82" s="2" t="n"/>
      <c r="K82" s="2" t="n"/>
      <c r="L82" s="2" t="n"/>
    </row>
    <row r="83">
      <c r="A83" s="2" t="n"/>
      <c r="B83" s="2" t="n"/>
      <c r="C83" s="2" t="n"/>
      <c r="D83" s="2" t="n"/>
      <c r="E83" s="2" t="n"/>
      <c r="F83" s="2" t="n"/>
      <c r="G83" s="2" t="n"/>
      <c r="H83" s="2" t="n"/>
      <c r="I83" s="2" t="n"/>
      <c r="J83" s="2" t="n"/>
      <c r="K83" s="2" t="n"/>
      <c r="L83" s="2" t="n"/>
    </row>
    <row r="84">
      <c r="A84" s="2" t="n"/>
      <c r="B84" s="2" t="n"/>
      <c r="C84" s="2" t="n"/>
      <c r="D84" s="2" t="n"/>
      <c r="E84" s="2" t="n"/>
      <c r="F84" s="2" t="n"/>
      <c r="G84" s="2" t="n"/>
      <c r="H84" s="2" t="n"/>
      <c r="I84" s="2" t="n"/>
      <c r="J84" s="2" t="n"/>
      <c r="K84" s="2" t="n"/>
      <c r="L84" s="2" t="n"/>
    </row>
    <row r="85">
      <c r="A85" s="2" t="n"/>
      <c r="B85" s="2" t="n"/>
      <c r="C85" s="2" t="n"/>
      <c r="D85" s="2" t="n"/>
      <c r="E85" s="2" t="n"/>
      <c r="F85" s="2" t="n"/>
      <c r="G85" s="2" t="n"/>
      <c r="H85" s="2" t="n"/>
      <c r="I85" s="2" t="n"/>
      <c r="J85" s="2" t="n"/>
      <c r="K85" s="2" t="n"/>
      <c r="L85" s="2" t="n"/>
    </row>
    <row r="86">
      <c r="A86" s="2" t="n"/>
      <c r="B86" s="2" t="n"/>
      <c r="C86" s="2" t="n"/>
      <c r="D86" s="2" t="n"/>
      <c r="E86" s="2" t="n"/>
      <c r="F86" s="2" t="n"/>
      <c r="G86" s="2" t="n"/>
      <c r="H86" s="2" t="n"/>
      <c r="I86" s="2" t="n"/>
      <c r="J86" s="2" t="n"/>
      <c r="K86" s="2" t="n"/>
      <c r="L86" s="2" t="n"/>
    </row>
    <row r="87">
      <c r="A87" s="2" t="n"/>
      <c r="B87" s="2" t="n"/>
      <c r="C87" s="2" t="n"/>
      <c r="D87" s="2" t="n"/>
      <c r="E87" s="2" t="n"/>
      <c r="F87" s="2" t="n"/>
      <c r="G87" s="2" t="n"/>
      <c r="H87" s="2" t="n"/>
      <c r="I87" s="2" t="n"/>
      <c r="J87" s="2" t="n"/>
      <c r="K87" s="2" t="n"/>
      <c r="L87" s="2" t="n"/>
    </row>
    <row r="88">
      <c r="A88" s="2" t="n"/>
      <c r="B88" s="2" t="n"/>
      <c r="C88" s="2" t="n"/>
      <c r="D88" s="2" t="n"/>
      <c r="E88" s="2" t="n"/>
      <c r="F88" s="2" t="n"/>
      <c r="G88" s="2" t="n"/>
      <c r="H88" s="2" t="n"/>
      <c r="I88" s="2" t="n"/>
      <c r="J88" s="2" t="n"/>
      <c r="K88" s="2" t="n"/>
      <c r="L88" s="2" t="n"/>
    </row>
    <row r="89">
      <c r="A89" s="2" t="n"/>
      <c r="B89" s="2" t="n"/>
      <c r="C89" s="2" t="n"/>
      <c r="D89" s="2" t="n"/>
      <c r="E89" s="2" t="n"/>
      <c r="F89" s="2" t="n"/>
      <c r="G89" s="2" t="n"/>
      <c r="H89" s="2" t="n"/>
      <c r="I89" s="2" t="n"/>
      <c r="J89" s="2" t="n"/>
      <c r="K89" s="2" t="n"/>
      <c r="L89" s="2" t="n"/>
    </row>
    <row r="90">
      <c r="A90" s="2" t="n"/>
      <c r="B90" s="2" t="n"/>
      <c r="C90" s="2" t="n"/>
      <c r="D90" s="2" t="n"/>
      <c r="E90" s="2" t="n"/>
      <c r="F90" s="2" t="n"/>
      <c r="G90" s="2" t="n"/>
      <c r="H90" s="2" t="n"/>
      <c r="I90" s="2" t="n"/>
      <c r="J90" s="2" t="n"/>
      <c r="K90" s="2" t="n"/>
      <c r="L90" s="2" t="n"/>
    </row>
    <row r="91">
      <c r="A91" s="2" t="n"/>
      <c r="B91" s="2" t="n"/>
      <c r="C91" s="2" t="n"/>
      <c r="D91" s="2" t="n"/>
      <c r="E91" s="2" t="n"/>
      <c r="F91" s="2" t="n"/>
      <c r="G91" s="2" t="n"/>
      <c r="H91" s="2" t="n"/>
      <c r="I91" s="2" t="n"/>
      <c r="J91" s="2" t="n"/>
      <c r="K91" s="2" t="n"/>
      <c r="L91" s="2" t="n"/>
    </row>
    <row r="92">
      <c r="A92" s="2" t="n"/>
      <c r="B92" s="2" t="n"/>
      <c r="C92" s="2" t="n"/>
      <c r="D92" s="2" t="n"/>
      <c r="E92" s="2" t="n"/>
      <c r="F92" s="2" t="n"/>
      <c r="G92" s="2" t="n"/>
      <c r="H92" s="2" t="n"/>
      <c r="I92" s="2" t="n"/>
      <c r="J92" s="2" t="n"/>
      <c r="K92" s="2" t="n"/>
      <c r="L92" s="2" t="n"/>
    </row>
    <row r="93">
      <c r="A93" s="2" t="n"/>
      <c r="B93" s="2" t="n"/>
      <c r="C93" s="2" t="n"/>
      <c r="D93" s="2" t="n"/>
      <c r="E93" s="2" t="n"/>
      <c r="F93" s="2" t="n"/>
      <c r="G93" s="2" t="n"/>
      <c r="H93" s="2" t="n"/>
      <c r="I93" s="2" t="n"/>
      <c r="J93" s="2" t="n"/>
      <c r="K93" s="2" t="n"/>
      <c r="L93" s="2" t="n"/>
    </row>
    <row r="94">
      <c r="A94" s="2" t="n"/>
      <c r="B94" s="2" t="n"/>
      <c r="C94" s="2" t="n"/>
      <c r="D94" s="2" t="n"/>
      <c r="E94" s="2" t="n"/>
      <c r="F94" s="2" t="n"/>
      <c r="G94" s="2" t="n"/>
      <c r="H94" s="2" t="n"/>
      <c r="I94" s="2" t="n"/>
      <c r="J94" s="2" t="n"/>
      <c r="K94" s="2" t="n"/>
      <c r="L94" s="2" t="n"/>
    </row>
    <row r="95">
      <c r="A95" s="2" t="n"/>
      <c r="B95" s="2" t="n"/>
      <c r="C95" s="2" t="n"/>
      <c r="D95" s="2" t="n"/>
      <c r="E95" s="2" t="n"/>
      <c r="F95" s="2" t="n"/>
      <c r="G95" s="2" t="n"/>
      <c r="H95" s="2" t="n"/>
      <c r="I95" s="2" t="n"/>
      <c r="J95" s="2" t="n"/>
      <c r="K95" s="2" t="n"/>
      <c r="L95" s="2" t="n"/>
    </row>
    <row r="96">
      <c r="A96" s="2" t="n"/>
      <c r="B96" s="2" t="n"/>
      <c r="C96" s="2" t="n"/>
      <c r="D96" s="2" t="n"/>
      <c r="E96" s="2" t="n"/>
      <c r="F96" s="2" t="n"/>
      <c r="G96" s="2" t="n"/>
      <c r="H96" s="2" t="n"/>
      <c r="I96" s="2" t="n"/>
      <c r="J96" s="2" t="n"/>
      <c r="K96" s="2" t="n"/>
      <c r="L96" s="2" t="n"/>
    </row>
    <row r="97">
      <c r="A97" s="2" t="n"/>
      <c r="B97" s="2" t="n"/>
      <c r="C97" s="2" t="n"/>
      <c r="D97" s="2" t="n"/>
      <c r="E97" s="2" t="n"/>
      <c r="F97" s="2" t="n"/>
      <c r="G97" s="2" t="n"/>
      <c r="H97" s="2" t="n"/>
      <c r="I97" s="2" t="n"/>
      <c r="J97" s="2" t="n"/>
      <c r="K97" s="2" t="n"/>
      <c r="L97" s="2" t="n"/>
    </row>
    <row r="98">
      <c r="A98" s="2" t="n"/>
      <c r="B98" s="2" t="n"/>
      <c r="C98" s="2" t="n"/>
      <c r="D98" s="2" t="n"/>
      <c r="E98" s="2" t="n"/>
      <c r="F98" s="2" t="n"/>
      <c r="G98" s="2" t="n"/>
      <c r="H98" s="2" t="n"/>
      <c r="I98" s="2" t="n"/>
      <c r="J98" s="2" t="n"/>
      <c r="K98" s="2" t="n"/>
      <c r="L98" s="2" t="n"/>
    </row>
    <row r="99">
      <c r="A99" s="2" t="n"/>
      <c r="B99" s="2" t="n"/>
      <c r="C99" s="2" t="n"/>
      <c r="D99" s="2" t="n"/>
      <c r="E99" s="2" t="n"/>
      <c r="F99" s="2" t="n"/>
      <c r="G99" s="2" t="n"/>
      <c r="H99" s="2" t="n"/>
      <c r="I99" s="2" t="n"/>
      <c r="J99" s="2" t="n"/>
      <c r="K99" s="2" t="n"/>
      <c r="L99" s="2" t="n"/>
    </row>
    <row r="100">
      <c r="A100" s="2" t="n"/>
      <c r="B100" s="2" t="n"/>
      <c r="C100" s="2" t="n"/>
      <c r="D100" s="2" t="n"/>
      <c r="E100" s="2" t="n"/>
      <c r="F100" s="2" t="n"/>
      <c r="G100" s="2" t="n"/>
      <c r="H100" s="2" t="n"/>
      <c r="I100" s="2" t="n"/>
      <c r="J100" s="2" t="n"/>
      <c r="K100" s="2" t="n"/>
      <c r="L100" s="2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4">
    <tabColor rgb="FF46C8F5"/>
    <outlinePr summaryBelow="1" summaryRight="1"/>
    <pageSetUpPr/>
  </sheetPr>
  <dimension ref="A1:L100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1" sqref="A1"/>
    </sheetView>
  </sheetViews>
  <sheetFormatPr baseColWidth="10" defaultColWidth="8.7109375" defaultRowHeight="15"/>
  <cols>
    <col width="34" customWidth="1" min="1" max="1"/>
    <col width="12" customWidth="1" min="2" max="8"/>
  </cols>
  <sheetData>
    <row r="1" ht="21.75" customHeight="1">
      <c r="A1" s="1" t="inlineStr">
        <is>
          <t>FLUJO DE CAJA - MELI (metodo indirecto)</t>
        </is>
      </c>
      <c r="B1" s="2" t="n"/>
      <c r="C1" s="2" t="n"/>
      <c r="D1" s="2" t="n"/>
      <c r="E1" s="2" t="n"/>
      <c r="F1" s="2" t="n"/>
      <c r="G1" s="2" t="n"/>
      <c r="H1" s="2" t="n"/>
      <c r="I1" s="2" t="n"/>
      <c r="J1" s="2" t="n"/>
      <c r="K1" s="2" t="n"/>
      <c r="L1" s="2" t="n"/>
    </row>
    <row r="2" ht="13.5" customHeight="1">
      <c r="A2" s="3" t="inlineStr">
        <is>
          <t>USD millones - Proyeccion escrita integramente por VBA (FY2026E-FY2030E)</t>
        </is>
      </c>
      <c r="B2" s="2" t="n"/>
      <c r="C2" s="2" t="n"/>
      <c r="D2" s="2" t="n"/>
      <c r="E2" s="2" t="n"/>
      <c r="F2" s="2" t="n"/>
      <c r="G2" s="2" t="n"/>
      <c r="H2" s="2" t="n"/>
      <c r="I2" s="2" t="n"/>
      <c r="J2" s="2" t="n"/>
      <c r="K2" s="2" t="n"/>
      <c r="L2" s="2" t="n"/>
    </row>
    <row r="3">
      <c r="A3" s="2" t="n"/>
      <c r="B3" s="2" t="n"/>
      <c r="C3" s="2" t="n"/>
      <c r="D3" s="2" t="n"/>
      <c r="E3" s="2" t="n"/>
      <c r="F3" s="2" t="n"/>
      <c r="G3" s="2" t="n"/>
      <c r="H3" s="2" t="n"/>
      <c r="I3" s="2" t="n"/>
      <c r="J3" s="2" t="n"/>
      <c r="K3" s="2" t="n"/>
      <c r="L3" s="2" t="n"/>
    </row>
    <row r="4">
      <c r="A4" s="6" t="inlineStr">
        <is>
          <t>Concepto</t>
        </is>
      </c>
      <c r="B4" s="7" t="inlineStr">
        <is>
          <t>FY2024</t>
        </is>
      </c>
      <c r="C4" s="7" t="inlineStr">
        <is>
          <t>FY2025</t>
        </is>
      </c>
      <c r="D4" s="7" t="inlineStr">
        <is>
          <t>FY2026E</t>
        </is>
      </c>
      <c r="E4" s="7" t="inlineStr">
        <is>
          <t>FY2027E</t>
        </is>
      </c>
      <c r="F4" s="7" t="inlineStr">
        <is>
          <t>FY2028E</t>
        </is>
      </c>
      <c r="G4" s="7" t="inlineStr">
        <is>
          <t>FY2029E</t>
        </is>
      </c>
      <c r="H4" s="7" t="inlineStr">
        <is>
          <t>FY2030E</t>
        </is>
      </c>
      <c r="I4" s="2" t="n"/>
      <c r="J4" s="2" t="n"/>
      <c r="K4" s="2" t="n"/>
      <c r="L4" s="2" t="n"/>
    </row>
    <row r="5">
      <c r="A5" s="8" t="inlineStr">
        <is>
          <t>Ganancia neta</t>
        </is>
      </c>
      <c r="B5" s="9" t="n"/>
      <c r="C5" s="9" t="n"/>
      <c r="D5" s="9" t="n">
        <v>2680.326068</v>
      </c>
      <c r="E5" s="9" t="n">
        <v>3585.657169595508</v>
      </c>
      <c r="F5" s="9" t="n">
        <v>4674.158767622941</v>
      </c>
      <c r="G5" s="9" t="n">
        <v>5826.056293353777</v>
      </c>
      <c r="H5" s="9" t="n">
        <v>7222.379984045383</v>
      </c>
      <c r="I5" s="2" t="n"/>
      <c r="J5" s="2" t="n"/>
      <c r="K5" s="2" t="n"/>
      <c r="L5" s="2" t="n"/>
    </row>
    <row r="6">
      <c r="A6" s="8" t="inlineStr">
        <is>
          <t>+ Depreciacion y amortizacion</t>
        </is>
      </c>
      <c r="B6" s="9" t="n"/>
      <c r="C6" s="9" t="n"/>
      <c r="D6" s="9" t="n">
        <v>1072.50816</v>
      </c>
      <c r="E6" s="9" t="n">
        <v>1364.674176</v>
      </c>
      <c r="F6" s="9" t="n">
        <v>1623.96226944</v>
      </c>
      <c r="G6" s="9" t="n">
        <v>1946.58944030208</v>
      </c>
      <c r="H6" s="9" t="n">
        <v>2219.111961944372</v>
      </c>
      <c r="I6" s="2" t="n"/>
      <c r="J6" s="2" t="n"/>
      <c r="K6" s="2" t="n"/>
      <c r="L6" s="2" t="n"/>
    </row>
    <row r="7">
      <c r="A7" s="8" t="inlineStr">
        <is>
          <t>(-) Var. cuentas por cobrar comerciales</t>
        </is>
      </c>
      <c r="B7" s="9" t="n"/>
      <c r="C7" s="9" t="n"/>
      <c r="D7" s="9" t="n">
        <v>-137.6169863013699</v>
      </c>
      <c r="E7" s="9" t="n">
        <v>-116.5219068493151</v>
      </c>
      <c r="F7" s="9" t="n">
        <v>-118.3963896986302</v>
      </c>
      <c r="G7" s="9" t="n">
        <v>-118.6456452558904</v>
      </c>
      <c r="H7" s="9" t="n">
        <v>-120.4253299347289</v>
      </c>
      <c r="I7" s="2" t="n"/>
      <c r="J7" s="2" t="n"/>
      <c r="K7" s="2" t="n"/>
      <c r="L7" s="2" t="n"/>
    </row>
    <row r="8">
      <c r="A8" s="8" t="inlineStr">
        <is>
          <t>(-) Var. inventarios</t>
        </is>
      </c>
      <c r="B8" s="9" t="n"/>
      <c r="C8" s="9" t="n"/>
      <c r="D8" s="9" t="n">
        <v>-161.0483112328768</v>
      </c>
      <c r="E8" s="9" t="n">
        <v>-164.9007893391781</v>
      </c>
      <c r="F8" s="9" t="n">
        <v>-164.4463539024657</v>
      </c>
      <c r="G8" s="9" t="n">
        <v>-165.1903318897762</v>
      </c>
      <c r="H8" s="9" t="n">
        <v>-163.9332812782902</v>
      </c>
      <c r="I8" s="2" t="n"/>
      <c r="J8" s="2" t="n"/>
      <c r="K8" s="2" t="n"/>
      <c r="L8" s="2" t="n"/>
    </row>
    <row r="9">
      <c r="A9" s="8" t="inlineStr">
        <is>
          <t>(-) Var. otros activos corrientes</t>
        </is>
      </c>
      <c r="B9" s="9" t="n"/>
      <c r="C9" s="9" t="n"/>
      <c r="D9" s="9" t="n">
        <v>-108</v>
      </c>
      <c r="E9" s="9" t="n">
        <v>-99.36000000000001</v>
      </c>
      <c r="F9" s="9" t="n">
        <v>-92.73599999999999</v>
      </c>
      <c r="G9" s="9" t="n">
        <v>-81.60768000000007</v>
      </c>
      <c r="H9" s="9" t="n">
        <v>-77.11925760000008</v>
      </c>
      <c r="I9" s="2" t="n"/>
      <c r="J9" s="2" t="n"/>
      <c r="K9" s="2" t="n"/>
      <c r="L9" s="2" t="n"/>
    </row>
    <row r="10">
      <c r="A10" s="8" t="inlineStr">
        <is>
          <t>Var. cuentas por pagar comerciales</t>
        </is>
      </c>
      <c r="B10" s="9" t="n"/>
      <c r="C10" s="9" t="n"/>
      <c r="D10" s="9" t="n">
        <v>1121.448547945206</v>
      </c>
      <c r="E10" s="9" t="n">
        <v>1268.46761030137</v>
      </c>
      <c r="F10" s="9" t="n">
        <v>1264.971953095891</v>
      </c>
      <c r="G10" s="9" t="n">
        <v>1270.694860690586</v>
      </c>
      <c r="H10" s="9" t="n">
        <v>1261.025240602232</v>
      </c>
      <c r="I10" s="2" t="n"/>
      <c r="J10" s="2" t="n"/>
      <c r="K10" s="2" t="n"/>
      <c r="L10" s="2" t="n"/>
    </row>
    <row r="11">
      <c r="A11" s="8" t="inlineStr">
        <is>
          <t>Var. otros pasivos corrientes</t>
        </is>
      </c>
      <c r="B11" s="9" t="n"/>
      <c r="C11" s="9" t="n"/>
      <c r="D11" s="9" t="n">
        <v>61.35000000000002</v>
      </c>
      <c r="E11" s="9" t="n">
        <v>56.44200000000001</v>
      </c>
      <c r="F11" s="9" t="n">
        <v>52.67920000000004</v>
      </c>
      <c r="G11" s="9" t="n">
        <v>46.35769600000003</v>
      </c>
      <c r="H11" s="9" t="n">
        <v>43.80802272000005</v>
      </c>
      <c r="I11" s="2" t="n"/>
      <c r="J11" s="2" t="n"/>
      <c r="K11" s="2" t="n"/>
      <c r="L11" s="2" t="n"/>
    </row>
    <row r="12">
      <c r="A12" s="8" t="inlineStr">
        <is>
          <t>Var. fintech neto</t>
        </is>
      </c>
      <c r="B12" s="9" t="n"/>
      <c r="C12" s="9" t="n"/>
      <c r="D12" s="9" t="n">
        <v>-2653.84</v>
      </c>
      <c r="E12" s="9" t="n">
        <v>-2790.323200000001</v>
      </c>
      <c r="F12" s="9" t="n">
        <v>-2835.211008</v>
      </c>
      <c r="G12" s="9" t="n">
        <v>-2841.179873280002</v>
      </c>
      <c r="H12" s="9" t="n">
        <v>-2883.7975713792</v>
      </c>
      <c r="I12" s="2" t="n"/>
      <c r="J12" s="2" t="n"/>
      <c r="K12" s="2" t="n"/>
      <c r="L12" s="2" t="n"/>
    </row>
    <row r="13">
      <c r="A13" s="8" t="inlineStr">
        <is>
          <t>Var. otros (sueldos/imp./leasing/otros no ctes.)</t>
        </is>
      </c>
      <c r="B13" s="9" t="n"/>
      <c r="C13" s="9" t="n"/>
      <c r="D13" s="9" t="n">
        <v>-596.4000000000003</v>
      </c>
      <c r="E13" s="9" t="n">
        <v>-548.688</v>
      </c>
      <c r="F13" s="9" t="n">
        <v>-512.1088</v>
      </c>
      <c r="G13" s="9" t="n">
        <v>-450.6557440000001</v>
      </c>
      <c r="H13" s="9" t="n">
        <v>-425.8696780800002</v>
      </c>
      <c r="I13" s="2" t="n"/>
      <c r="J13" s="2" t="n"/>
      <c r="K13" s="2" t="n"/>
      <c r="L13" s="2" t="n"/>
    </row>
    <row r="14">
      <c r="A14" s="10" t="inlineStr">
        <is>
          <t>Flujo de caja operativo</t>
        </is>
      </c>
      <c r="B14" s="11" t="n"/>
      <c r="C14" s="11" t="n"/>
      <c r="D14" s="11" t="n">
        <v>1278.727478410959</v>
      </c>
      <c r="E14" s="11" t="n">
        <v>2555.447059708384</v>
      </c>
      <c r="F14" s="11" t="n">
        <v>3892.873638557736</v>
      </c>
      <c r="G14" s="11" t="n">
        <v>5432.419015920775</v>
      </c>
      <c r="H14" s="11" t="n">
        <v>7075.180091039767</v>
      </c>
      <c r="I14" s="2" t="n"/>
      <c r="J14" s="2" t="n"/>
      <c r="K14" s="2" t="n"/>
      <c r="L14" s="2" t="n"/>
    </row>
    <row r="15">
      <c r="A15" s="2" t="n"/>
      <c r="B15" s="2" t="n"/>
      <c r="C15" s="2" t="n"/>
      <c r="D15" s="2" t="n"/>
      <c r="E15" s="2" t="n"/>
      <c r="F15" s="2" t="n"/>
      <c r="G15" s="2" t="n"/>
      <c r="H15" s="2" t="n"/>
      <c r="I15" s="2" t="n"/>
      <c r="J15" s="2" t="n"/>
      <c r="K15" s="2" t="n"/>
      <c r="L15" s="2" t="n"/>
    </row>
    <row r="16">
      <c r="A16" s="8" t="inlineStr">
        <is>
          <t>Capex</t>
        </is>
      </c>
      <c r="B16" s="9" t="n"/>
      <c r="C16" s="9" t="n"/>
      <c r="D16" s="9" t="n">
        <v>-1664.2368</v>
      </c>
      <c r="E16" s="9" t="n">
        <v>-2001.5221248</v>
      </c>
      <c r="F16" s="9" t="n">
        <v>-2327.679252864</v>
      </c>
      <c r="G16" s="9" t="n">
        <v>-2637.31472557056</v>
      </c>
      <c r="H16" s="9" t="n">
        <v>-2934.954530313524</v>
      </c>
      <c r="I16" s="2" t="n"/>
      <c r="J16" s="2" t="n"/>
      <c r="K16" s="2" t="n"/>
      <c r="L16" s="2" t="n"/>
    </row>
    <row r="17">
      <c r="A17" s="8" t="inlineStr">
        <is>
          <t>(-) Var. inversiones CP+LP</t>
        </is>
      </c>
      <c r="B17" s="9" t="n"/>
      <c r="C17" s="9" t="n"/>
      <c r="D17" s="9" t="n">
        <v>-439.3000000000002</v>
      </c>
      <c r="E17" s="9" t="n">
        <v>-483.23</v>
      </c>
      <c r="F17" s="9" t="n">
        <v>-425.2424000000001</v>
      </c>
      <c r="G17" s="9" t="n">
        <v>-459.2617920000002</v>
      </c>
      <c r="H17" s="9" t="n">
        <v>-372.0020515200004</v>
      </c>
      <c r="I17" s="2" t="n"/>
      <c r="J17" s="2" t="n"/>
      <c r="K17" s="2" t="n"/>
      <c r="L17" s="2" t="n"/>
    </row>
    <row r="18">
      <c r="A18" s="10" t="inlineStr">
        <is>
          <t>Flujo de caja de inversion</t>
        </is>
      </c>
      <c r="B18" s="11" t="n"/>
      <c r="C18" s="11" t="n"/>
      <c r="D18" s="11" t="n">
        <v>-2103.5368</v>
      </c>
      <c r="E18" s="11" t="n">
        <v>-2484.7521248</v>
      </c>
      <c r="F18" s="11" t="n">
        <v>-2752.921652864</v>
      </c>
      <c r="G18" s="11" t="n">
        <v>-3096.576517570561</v>
      </c>
      <c r="H18" s="11" t="n">
        <v>-3306.956581833524</v>
      </c>
      <c r="I18" s="2" t="n"/>
      <c r="J18" s="2" t="n"/>
      <c r="K18" s="2" t="n"/>
      <c r="L18" s="2" t="n"/>
    </row>
    <row r="19">
      <c r="A19" s="2" t="n"/>
      <c r="B19" s="2" t="n"/>
      <c r="C19" s="2" t="n"/>
      <c r="D19" s="2" t="n"/>
      <c r="E19" s="2" t="n"/>
      <c r="F19" s="2" t="n"/>
      <c r="G19" s="2" t="n"/>
      <c r="H19" s="2" t="n"/>
      <c r="I19" s="2" t="n"/>
      <c r="J19" s="2" t="n"/>
      <c r="K19" s="2" t="n"/>
      <c r="L19" s="2" t="n"/>
    </row>
    <row r="20">
      <c r="A20" s="8" t="inlineStr">
        <is>
          <t>Var. deuda financiera (CP+NC)</t>
        </is>
      </c>
      <c r="B20" s="9" t="n"/>
      <c r="C20" s="9" t="n"/>
      <c r="D20" s="9" t="n">
        <v>459.6499999999996</v>
      </c>
      <c r="E20" s="9" t="n">
        <v>482.6324999999997</v>
      </c>
      <c r="F20" s="9" t="n">
        <v>405.4112999999998</v>
      </c>
      <c r="G20" s="9" t="n">
        <v>421.6277520000003</v>
      </c>
      <c r="H20" s="9" t="n">
        <v>328.8696465600005</v>
      </c>
      <c r="I20" s="2" t="n"/>
      <c r="J20" s="2" t="n"/>
      <c r="K20" s="2" t="n"/>
      <c r="L20" s="2" t="n"/>
    </row>
    <row r="21">
      <c r="A21" s="10" t="inlineStr">
        <is>
          <t>Flujo de caja de financiacion</t>
        </is>
      </c>
      <c r="B21" s="11" t="n"/>
      <c r="C21" s="11" t="n"/>
      <c r="D21" s="11" t="n">
        <v>459.6499999999996</v>
      </c>
      <c r="E21" s="11" t="n">
        <v>482.6324999999997</v>
      </c>
      <c r="F21" s="11" t="n">
        <v>405.4112999999998</v>
      </c>
      <c r="G21" s="11" t="n">
        <v>421.6277520000003</v>
      </c>
      <c r="H21" s="11" t="n">
        <v>328.8696465600005</v>
      </c>
      <c r="I21" s="2" t="n"/>
      <c r="J21" s="2" t="n"/>
      <c r="K21" s="2" t="n"/>
      <c r="L21" s="2" t="n"/>
    </row>
    <row r="22">
      <c r="A22" s="2" t="n"/>
      <c r="B22" s="2" t="n"/>
      <c r="C22" s="2" t="n"/>
      <c r="D22" s="2" t="n"/>
      <c r="E22" s="2" t="n"/>
      <c r="F22" s="2" t="n"/>
      <c r="G22" s="2" t="n"/>
      <c r="H22" s="2" t="n"/>
      <c r="I22" s="2" t="n"/>
      <c r="J22" s="2" t="n"/>
      <c r="K22" s="2" t="n"/>
      <c r="L22" s="2" t="n"/>
    </row>
    <row r="23">
      <c r="A23" s="10" t="inlineStr">
        <is>
          <t>Variacion neta de caja</t>
        </is>
      </c>
      <c r="B23" s="11" t="n"/>
      <c r="C23" s="11" t="n"/>
      <c r="D23" s="11" t="n">
        <v>-365.1593215890414</v>
      </c>
      <c r="E23" s="11" t="n">
        <v>553.3274349083836</v>
      </c>
      <c r="F23" s="11" t="n">
        <v>1545.363285693736</v>
      </c>
      <c r="G23" s="11" t="n">
        <v>2757.470250350214</v>
      </c>
      <c r="H23" s="11" t="n">
        <v>4097.093155766243</v>
      </c>
      <c r="I23" s="2" t="n"/>
      <c r="J23" s="2" t="n"/>
      <c r="K23" s="2" t="n"/>
      <c r="L23" s="2" t="n"/>
    </row>
    <row r="24">
      <c r="A24" s="8" t="inlineStr">
        <is>
          <t>Caja inicial</t>
        </is>
      </c>
      <c r="B24" s="9" t="n"/>
      <c r="C24" s="9" t="n"/>
      <c r="D24" s="9" t="n">
        <v>3670</v>
      </c>
      <c r="E24" s="9" t="n">
        <v>3304.840678410958</v>
      </c>
      <c r="F24" s="9" t="n">
        <v>3858.168113319342</v>
      </c>
      <c r="G24" s="9" t="n">
        <v>5403.531399013078</v>
      </c>
      <c r="H24" s="9" t="n">
        <v>8161.001649363292</v>
      </c>
      <c r="I24" s="2" t="n"/>
      <c r="J24" s="2" t="n"/>
      <c r="K24" s="2" t="n"/>
      <c r="L24" s="2" t="n"/>
    </row>
    <row r="25">
      <c r="A25" s="10" t="inlineStr">
        <is>
          <t>Caja final</t>
        </is>
      </c>
      <c r="B25" s="11" t="n"/>
      <c r="C25" s="11" t="n"/>
      <c r="D25" s="11" t="n">
        <v>3304.840678410958</v>
      </c>
      <c r="E25" s="11" t="n">
        <v>3858.168113319342</v>
      </c>
      <c r="F25" s="11" t="n">
        <v>5403.531399013078</v>
      </c>
      <c r="G25" s="11" t="n">
        <v>8161.001649363292</v>
      </c>
      <c r="H25" s="11" t="n">
        <v>12258.09480512953</v>
      </c>
      <c r="I25" s="2" t="n"/>
      <c r="J25" s="2" t="n"/>
      <c r="K25" s="2" t="n"/>
      <c r="L25" s="2" t="n"/>
    </row>
    <row r="26">
      <c r="A26" s="2" t="n"/>
      <c r="B26" s="2" t="n"/>
      <c r="C26" s="2" t="n"/>
      <c r="D26" s="2" t="n"/>
      <c r="E26" s="2" t="n"/>
      <c r="F26" s="2" t="n"/>
      <c r="G26" s="2" t="n"/>
      <c r="H26" s="2" t="n"/>
      <c r="I26" s="2" t="n"/>
      <c r="J26" s="2" t="n"/>
      <c r="K26" s="2" t="n"/>
      <c r="L26" s="2" t="n"/>
    </row>
    <row r="27">
      <c r="A27" s="2" t="n"/>
      <c r="B27" s="2" t="n"/>
      <c r="C27" s="2" t="n"/>
      <c r="D27" s="2" t="n"/>
      <c r="E27" s="2" t="n"/>
      <c r="F27" s="2" t="n"/>
      <c r="G27" s="2" t="n"/>
      <c r="H27" s="2" t="n"/>
      <c r="I27" s="2" t="n"/>
      <c r="J27" s="2" t="n"/>
      <c r="K27" s="2" t="n"/>
      <c r="L27" s="2" t="n"/>
    </row>
    <row r="28">
      <c r="A28" s="2" t="n"/>
      <c r="B28" s="2" t="n"/>
      <c r="C28" s="2" t="n"/>
      <c r="D28" s="2" t="n"/>
      <c r="E28" s="2" t="n"/>
      <c r="F28" s="2" t="n"/>
      <c r="G28" s="2" t="n"/>
      <c r="H28" s="2" t="n"/>
      <c r="I28" s="2" t="n"/>
      <c r="J28" s="2" t="n"/>
      <c r="K28" s="2" t="n"/>
      <c r="L28" s="2" t="n"/>
    </row>
    <row r="29">
      <c r="A29" s="2" t="n"/>
      <c r="B29" s="2" t="n"/>
      <c r="C29" s="2" t="n"/>
      <c r="D29" s="2" t="n"/>
      <c r="E29" s="2" t="n"/>
      <c r="F29" s="2" t="n"/>
      <c r="G29" s="2" t="n"/>
      <c r="H29" s="2" t="n"/>
      <c r="I29" s="2" t="n"/>
      <c r="J29" s="2" t="n"/>
      <c r="K29" s="2" t="n"/>
      <c r="L29" s="2" t="n"/>
    </row>
    <row r="30">
      <c r="A30" s="2" t="n"/>
      <c r="B30" s="2" t="n"/>
      <c r="C30" s="2" t="n"/>
      <c r="D30" s="2" t="n"/>
      <c r="E30" s="2" t="n"/>
      <c r="F30" s="2" t="n"/>
      <c r="G30" s="2" t="n"/>
      <c r="H30" s="2" t="n"/>
      <c r="I30" s="2" t="n"/>
      <c r="J30" s="2" t="n"/>
      <c r="K30" s="2" t="n"/>
      <c r="L30" s="2" t="n"/>
    </row>
    <row r="31">
      <c r="A31" s="2" t="n"/>
      <c r="B31" s="2" t="n"/>
      <c r="C31" s="2" t="n"/>
      <c r="D31" s="2" t="n"/>
      <c r="E31" s="2" t="n"/>
      <c r="F31" s="2" t="n"/>
      <c r="G31" s="2" t="n"/>
      <c r="H31" s="2" t="n"/>
      <c r="I31" s="2" t="n"/>
      <c r="J31" s="2" t="n"/>
      <c r="K31" s="2" t="n"/>
      <c r="L31" s="2" t="n"/>
    </row>
    <row r="32">
      <c r="A32" s="2" t="n"/>
      <c r="B32" s="2" t="n"/>
      <c r="C32" s="2" t="n"/>
      <c r="D32" s="2" t="n"/>
      <c r="E32" s="2" t="n"/>
      <c r="F32" s="2" t="n"/>
      <c r="G32" s="2" t="n"/>
      <c r="H32" s="2" t="n"/>
      <c r="I32" s="2" t="n"/>
      <c r="J32" s="2" t="n"/>
      <c r="K32" s="2" t="n"/>
      <c r="L32" s="2" t="n"/>
    </row>
    <row r="33">
      <c r="A33" s="2" t="n"/>
      <c r="B33" s="2" t="n"/>
      <c r="C33" s="2" t="n"/>
      <c r="D33" s="2" t="n"/>
      <c r="E33" s="2" t="n"/>
      <c r="F33" s="2" t="n"/>
      <c r="G33" s="2" t="n"/>
      <c r="H33" s="2" t="n"/>
      <c r="I33" s="2" t="n"/>
      <c r="J33" s="2" t="n"/>
      <c r="K33" s="2" t="n"/>
      <c r="L33" s="2" t="n"/>
    </row>
    <row r="34">
      <c r="A34" s="2" t="n"/>
      <c r="B34" s="2" t="n"/>
      <c r="C34" s="2" t="n"/>
      <c r="D34" s="2" t="n"/>
      <c r="E34" s="2" t="n"/>
      <c r="F34" s="2" t="n"/>
      <c r="G34" s="2" t="n"/>
      <c r="H34" s="2" t="n"/>
      <c r="I34" s="2" t="n"/>
      <c r="J34" s="2" t="n"/>
      <c r="K34" s="2" t="n"/>
      <c r="L34" s="2" t="n"/>
    </row>
    <row r="35">
      <c r="A35" s="2" t="n"/>
      <c r="B35" s="2" t="n"/>
      <c r="C35" s="2" t="n"/>
      <c r="D35" s="2" t="n"/>
      <c r="E35" s="2" t="n"/>
      <c r="F35" s="2" t="n"/>
      <c r="G35" s="2" t="n"/>
      <c r="H35" s="2" t="n"/>
      <c r="I35" s="2" t="n"/>
      <c r="J35" s="2" t="n"/>
      <c r="K35" s="2" t="n"/>
      <c r="L35" s="2" t="n"/>
    </row>
    <row r="36">
      <c r="A36" s="2" t="n"/>
      <c r="B36" s="2" t="n"/>
      <c r="C36" s="2" t="n"/>
      <c r="D36" s="2" t="n"/>
      <c r="E36" s="2" t="n"/>
      <c r="F36" s="2" t="n"/>
      <c r="G36" s="2" t="n"/>
      <c r="H36" s="2" t="n"/>
      <c r="I36" s="2" t="n"/>
      <c r="J36" s="2" t="n"/>
      <c r="K36" s="2" t="n"/>
      <c r="L36" s="2" t="n"/>
    </row>
    <row r="37">
      <c r="A37" s="2" t="n"/>
      <c r="B37" s="2" t="n"/>
      <c r="C37" s="2" t="n"/>
      <c r="D37" s="2" t="n"/>
      <c r="E37" s="2" t="n"/>
      <c r="F37" s="2" t="n"/>
      <c r="G37" s="2" t="n"/>
      <c r="H37" s="2" t="n"/>
      <c r="I37" s="2" t="n"/>
      <c r="J37" s="2" t="n"/>
      <c r="K37" s="2" t="n"/>
      <c r="L37" s="2" t="n"/>
    </row>
    <row r="38">
      <c r="A38" s="2" t="n"/>
      <c r="B38" s="2" t="n"/>
      <c r="C38" s="2" t="n"/>
      <c r="D38" s="2" t="n"/>
      <c r="E38" s="2" t="n"/>
      <c r="F38" s="2" t="n"/>
      <c r="G38" s="2" t="n"/>
      <c r="H38" s="2" t="n"/>
      <c r="I38" s="2" t="n"/>
      <c r="J38" s="2" t="n"/>
      <c r="K38" s="2" t="n"/>
      <c r="L38" s="2" t="n"/>
    </row>
    <row r="39">
      <c r="A39" s="2" t="n"/>
      <c r="B39" s="2" t="n"/>
      <c r="C39" s="2" t="n"/>
      <c r="D39" s="2" t="n"/>
      <c r="E39" s="2" t="n"/>
      <c r="F39" s="2" t="n"/>
      <c r="G39" s="2" t="n"/>
      <c r="H39" s="2" t="n"/>
      <c r="I39" s="2" t="n"/>
      <c r="J39" s="2" t="n"/>
      <c r="K39" s="2" t="n"/>
      <c r="L39" s="2" t="n"/>
    </row>
    <row r="40">
      <c r="A40" s="2" t="n"/>
      <c r="B40" s="2" t="n"/>
      <c r="C40" s="2" t="n"/>
      <c r="D40" s="2" t="n"/>
      <c r="E40" s="2" t="n"/>
      <c r="F40" s="2" t="n"/>
      <c r="G40" s="2" t="n"/>
      <c r="H40" s="2" t="n"/>
      <c r="I40" s="2" t="n"/>
      <c r="J40" s="2" t="n"/>
      <c r="K40" s="2" t="n"/>
      <c r="L40" s="2" t="n"/>
    </row>
    <row r="41">
      <c r="A41" s="2" t="n"/>
      <c r="B41" s="2" t="n"/>
      <c r="C41" s="2" t="n"/>
      <c r="D41" s="2" t="n"/>
      <c r="E41" s="2" t="n"/>
      <c r="F41" s="2" t="n"/>
      <c r="G41" s="2" t="n"/>
      <c r="H41" s="2" t="n"/>
      <c r="I41" s="2" t="n"/>
      <c r="J41" s="2" t="n"/>
      <c r="K41" s="2" t="n"/>
      <c r="L41" s="2" t="n"/>
    </row>
    <row r="42">
      <c r="A42" s="2" t="n"/>
      <c r="B42" s="2" t="n"/>
      <c r="C42" s="2" t="n"/>
      <c r="D42" s="2" t="n"/>
      <c r="E42" s="2" t="n"/>
      <c r="F42" s="2" t="n"/>
      <c r="G42" s="2" t="n"/>
      <c r="H42" s="2" t="n"/>
      <c r="I42" s="2" t="n"/>
      <c r="J42" s="2" t="n"/>
      <c r="K42" s="2" t="n"/>
      <c r="L42" s="2" t="n"/>
    </row>
    <row r="43">
      <c r="A43" s="2" t="n"/>
      <c r="B43" s="2" t="n"/>
      <c r="C43" s="2" t="n"/>
      <c r="D43" s="2" t="n"/>
      <c r="E43" s="2" t="n"/>
      <c r="F43" s="2" t="n"/>
      <c r="G43" s="2" t="n"/>
      <c r="H43" s="2" t="n"/>
      <c r="I43" s="2" t="n"/>
      <c r="J43" s="2" t="n"/>
      <c r="K43" s="2" t="n"/>
      <c r="L43" s="2" t="n"/>
    </row>
    <row r="44">
      <c r="A44" s="2" t="n"/>
      <c r="B44" s="2" t="n"/>
      <c r="C44" s="2" t="n"/>
      <c r="D44" s="2" t="n"/>
      <c r="E44" s="2" t="n"/>
      <c r="F44" s="2" t="n"/>
      <c r="G44" s="2" t="n"/>
      <c r="H44" s="2" t="n"/>
      <c r="I44" s="2" t="n"/>
      <c r="J44" s="2" t="n"/>
      <c r="K44" s="2" t="n"/>
      <c r="L44" s="2" t="n"/>
    </row>
    <row r="45">
      <c r="A45" s="2" t="n"/>
      <c r="B45" s="2" t="n"/>
      <c r="C45" s="2" t="n"/>
      <c r="D45" s="2" t="n"/>
      <c r="E45" s="2" t="n"/>
      <c r="F45" s="2" t="n"/>
      <c r="G45" s="2" t="n"/>
      <c r="H45" s="2" t="n"/>
      <c r="I45" s="2" t="n"/>
      <c r="J45" s="2" t="n"/>
      <c r="K45" s="2" t="n"/>
      <c r="L45" s="2" t="n"/>
    </row>
    <row r="46">
      <c r="A46" s="2" t="n"/>
      <c r="B46" s="2" t="n"/>
      <c r="C46" s="2" t="n"/>
      <c r="D46" s="2" t="n"/>
      <c r="E46" s="2" t="n"/>
      <c r="F46" s="2" t="n"/>
      <c r="G46" s="2" t="n"/>
      <c r="H46" s="2" t="n"/>
      <c r="I46" s="2" t="n"/>
      <c r="J46" s="2" t="n"/>
      <c r="K46" s="2" t="n"/>
      <c r="L46" s="2" t="n"/>
    </row>
    <row r="47">
      <c r="A47" s="2" t="n"/>
      <c r="B47" s="2" t="n"/>
      <c r="C47" s="2" t="n"/>
      <c r="D47" s="2" t="n"/>
      <c r="E47" s="2" t="n"/>
      <c r="F47" s="2" t="n"/>
      <c r="G47" s="2" t="n"/>
      <c r="H47" s="2" t="n"/>
      <c r="I47" s="2" t="n"/>
      <c r="J47" s="2" t="n"/>
      <c r="K47" s="2" t="n"/>
      <c r="L47" s="2" t="n"/>
    </row>
    <row r="48">
      <c r="A48" s="2" t="n"/>
      <c r="B48" s="2" t="n"/>
      <c r="C48" s="2" t="n"/>
      <c r="D48" s="2" t="n"/>
      <c r="E48" s="2" t="n"/>
      <c r="F48" s="2" t="n"/>
      <c r="G48" s="2" t="n"/>
      <c r="H48" s="2" t="n"/>
      <c r="I48" s="2" t="n"/>
      <c r="J48" s="2" t="n"/>
      <c r="K48" s="2" t="n"/>
      <c r="L48" s="2" t="n"/>
    </row>
    <row r="49">
      <c r="A49" s="2" t="n"/>
      <c r="B49" s="2" t="n"/>
      <c r="C49" s="2" t="n"/>
      <c r="D49" s="2" t="n"/>
      <c r="E49" s="2" t="n"/>
      <c r="F49" s="2" t="n"/>
      <c r="G49" s="2" t="n"/>
      <c r="H49" s="2" t="n"/>
      <c r="I49" s="2" t="n"/>
      <c r="J49" s="2" t="n"/>
      <c r="K49" s="2" t="n"/>
      <c r="L49" s="2" t="n"/>
    </row>
    <row r="50">
      <c r="A50" s="2" t="n"/>
      <c r="B50" s="2" t="n"/>
      <c r="C50" s="2" t="n"/>
      <c r="D50" s="2" t="n"/>
      <c r="E50" s="2" t="n"/>
      <c r="F50" s="2" t="n"/>
      <c r="G50" s="2" t="n"/>
      <c r="H50" s="2" t="n"/>
      <c r="I50" s="2" t="n"/>
      <c r="J50" s="2" t="n"/>
      <c r="K50" s="2" t="n"/>
      <c r="L50" s="2" t="n"/>
    </row>
    <row r="51">
      <c r="A51" s="2" t="n"/>
      <c r="B51" s="2" t="n"/>
      <c r="C51" s="2" t="n"/>
      <c r="D51" s="2" t="n"/>
      <c r="E51" s="2" t="n"/>
      <c r="F51" s="2" t="n"/>
      <c r="G51" s="2" t="n"/>
      <c r="H51" s="2" t="n"/>
      <c r="I51" s="2" t="n"/>
      <c r="J51" s="2" t="n"/>
      <c r="K51" s="2" t="n"/>
      <c r="L51" s="2" t="n"/>
    </row>
    <row r="52">
      <c r="A52" s="2" t="n"/>
      <c r="B52" s="2" t="n"/>
      <c r="C52" s="2" t="n"/>
      <c r="D52" s="2" t="n"/>
      <c r="E52" s="2" t="n"/>
      <c r="F52" s="2" t="n"/>
      <c r="G52" s="2" t="n"/>
      <c r="H52" s="2" t="n"/>
      <c r="I52" s="2" t="n"/>
      <c r="J52" s="2" t="n"/>
      <c r="K52" s="2" t="n"/>
      <c r="L52" s="2" t="n"/>
    </row>
    <row r="53">
      <c r="A53" s="2" t="n"/>
      <c r="B53" s="2" t="n"/>
      <c r="C53" s="2" t="n"/>
      <c r="D53" s="2" t="n"/>
      <c r="E53" s="2" t="n"/>
      <c r="F53" s="2" t="n"/>
      <c r="G53" s="2" t="n"/>
      <c r="H53" s="2" t="n"/>
      <c r="I53" s="2" t="n"/>
      <c r="J53" s="2" t="n"/>
      <c r="K53" s="2" t="n"/>
      <c r="L53" s="2" t="n"/>
    </row>
    <row r="54">
      <c r="A54" s="2" t="n"/>
      <c r="B54" s="2" t="n"/>
      <c r="C54" s="2" t="n"/>
      <c r="D54" s="2" t="n"/>
      <c r="E54" s="2" t="n"/>
      <c r="F54" s="2" t="n"/>
      <c r="G54" s="2" t="n"/>
      <c r="H54" s="2" t="n"/>
      <c r="I54" s="2" t="n"/>
      <c r="J54" s="2" t="n"/>
      <c r="K54" s="2" t="n"/>
      <c r="L54" s="2" t="n"/>
    </row>
    <row r="55">
      <c r="A55" s="2" t="n"/>
      <c r="B55" s="2" t="n"/>
      <c r="C55" s="2" t="n"/>
      <c r="D55" s="2" t="n"/>
      <c r="E55" s="2" t="n"/>
      <c r="F55" s="2" t="n"/>
      <c r="G55" s="2" t="n"/>
      <c r="H55" s="2" t="n"/>
      <c r="I55" s="2" t="n"/>
      <c r="J55" s="2" t="n"/>
      <c r="K55" s="2" t="n"/>
      <c r="L55" s="2" t="n"/>
    </row>
    <row r="56">
      <c r="A56" s="2" t="n"/>
      <c r="B56" s="2" t="n"/>
      <c r="C56" s="2" t="n"/>
      <c r="D56" s="2" t="n"/>
      <c r="E56" s="2" t="n"/>
      <c r="F56" s="2" t="n"/>
      <c r="G56" s="2" t="n"/>
      <c r="H56" s="2" t="n"/>
      <c r="I56" s="2" t="n"/>
      <c r="J56" s="2" t="n"/>
      <c r="K56" s="2" t="n"/>
      <c r="L56" s="2" t="n"/>
    </row>
    <row r="57">
      <c r="A57" s="2" t="n"/>
      <c r="B57" s="2" t="n"/>
      <c r="C57" s="2" t="n"/>
      <c r="D57" s="2" t="n"/>
      <c r="E57" s="2" t="n"/>
      <c r="F57" s="2" t="n"/>
      <c r="G57" s="2" t="n"/>
      <c r="H57" s="2" t="n"/>
      <c r="I57" s="2" t="n"/>
      <c r="J57" s="2" t="n"/>
      <c r="K57" s="2" t="n"/>
      <c r="L57" s="2" t="n"/>
    </row>
    <row r="58">
      <c r="A58" s="2" t="n"/>
      <c r="B58" s="2" t="n"/>
      <c r="C58" s="2" t="n"/>
      <c r="D58" s="2" t="n"/>
      <c r="E58" s="2" t="n"/>
      <c r="F58" s="2" t="n"/>
      <c r="G58" s="2" t="n"/>
      <c r="H58" s="2" t="n"/>
      <c r="I58" s="2" t="n"/>
      <c r="J58" s="2" t="n"/>
      <c r="K58" s="2" t="n"/>
      <c r="L58" s="2" t="n"/>
    </row>
    <row r="59">
      <c r="A59" s="2" t="n"/>
      <c r="B59" s="2" t="n"/>
      <c r="C59" s="2" t="n"/>
      <c r="D59" s="2" t="n"/>
      <c r="E59" s="2" t="n"/>
      <c r="F59" s="2" t="n"/>
      <c r="G59" s="2" t="n"/>
      <c r="H59" s="2" t="n"/>
      <c r="I59" s="2" t="n"/>
      <c r="J59" s="2" t="n"/>
      <c r="K59" s="2" t="n"/>
      <c r="L59" s="2" t="n"/>
    </row>
    <row r="60">
      <c r="A60" s="2" t="n"/>
      <c r="B60" s="2" t="n"/>
      <c r="C60" s="2" t="n"/>
      <c r="D60" s="2" t="n"/>
      <c r="E60" s="2" t="n"/>
      <c r="F60" s="2" t="n"/>
      <c r="G60" s="2" t="n"/>
      <c r="H60" s="2" t="n"/>
      <c r="I60" s="2" t="n"/>
      <c r="J60" s="2" t="n"/>
      <c r="K60" s="2" t="n"/>
      <c r="L60" s="2" t="n"/>
    </row>
    <row r="61">
      <c r="A61" s="2" t="n"/>
      <c r="B61" s="2" t="n"/>
      <c r="C61" s="2" t="n"/>
      <c r="D61" s="2" t="n"/>
      <c r="E61" s="2" t="n"/>
      <c r="F61" s="2" t="n"/>
      <c r="G61" s="2" t="n"/>
      <c r="H61" s="2" t="n"/>
      <c r="I61" s="2" t="n"/>
      <c r="J61" s="2" t="n"/>
      <c r="K61" s="2" t="n"/>
      <c r="L61" s="2" t="n"/>
    </row>
    <row r="62">
      <c r="A62" s="2" t="n"/>
      <c r="B62" s="2" t="n"/>
      <c r="C62" s="2" t="n"/>
      <c r="D62" s="2" t="n"/>
      <c r="E62" s="2" t="n"/>
      <c r="F62" s="2" t="n"/>
      <c r="G62" s="2" t="n"/>
      <c r="H62" s="2" t="n"/>
      <c r="I62" s="2" t="n"/>
      <c r="J62" s="2" t="n"/>
      <c r="K62" s="2" t="n"/>
      <c r="L62" s="2" t="n"/>
    </row>
    <row r="63">
      <c r="A63" s="2" t="n"/>
      <c r="B63" s="2" t="n"/>
      <c r="C63" s="2" t="n"/>
      <c r="D63" s="2" t="n"/>
      <c r="E63" s="2" t="n"/>
      <c r="F63" s="2" t="n"/>
      <c r="G63" s="2" t="n"/>
      <c r="H63" s="2" t="n"/>
      <c r="I63" s="2" t="n"/>
      <c r="J63" s="2" t="n"/>
      <c r="K63" s="2" t="n"/>
      <c r="L63" s="2" t="n"/>
    </row>
    <row r="64">
      <c r="A64" s="2" t="n"/>
      <c r="B64" s="2" t="n"/>
      <c r="C64" s="2" t="n"/>
      <c r="D64" s="2" t="n"/>
      <c r="E64" s="2" t="n"/>
      <c r="F64" s="2" t="n"/>
      <c r="G64" s="2" t="n"/>
      <c r="H64" s="2" t="n"/>
      <c r="I64" s="2" t="n"/>
      <c r="J64" s="2" t="n"/>
      <c r="K64" s="2" t="n"/>
      <c r="L64" s="2" t="n"/>
    </row>
    <row r="65">
      <c r="A65" s="2" t="n"/>
      <c r="B65" s="2" t="n"/>
      <c r="C65" s="2" t="n"/>
      <c r="D65" s="2" t="n"/>
      <c r="E65" s="2" t="n"/>
      <c r="F65" s="2" t="n"/>
      <c r="G65" s="2" t="n"/>
      <c r="H65" s="2" t="n"/>
      <c r="I65" s="2" t="n"/>
      <c r="J65" s="2" t="n"/>
      <c r="K65" s="2" t="n"/>
      <c r="L65" s="2" t="n"/>
    </row>
    <row r="66">
      <c r="A66" s="2" t="n"/>
      <c r="B66" s="2" t="n"/>
      <c r="C66" s="2" t="n"/>
      <c r="D66" s="2" t="n"/>
      <c r="E66" s="2" t="n"/>
      <c r="F66" s="2" t="n"/>
      <c r="G66" s="2" t="n"/>
      <c r="H66" s="2" t="n"/>
      <c r="I66" s="2" t="n"/>
      <c r="J66" s="2" t="n"/>
      <c r="K66" s="2" t="n"/>
      <c r="L66" s="2" t="n"/>
    </row>
    <row r="67">
      <c r="A67" s="2" t="n"/>
      <c r="B67" s="2" t="n"/>
      <c r="C67" s="2" t="n"/>
      <c r="D67" s="2" t="n"/>
      <c r="E67" s="2" t="n"/>
      <c r="F67" s="2" t="n"/>
      <c r="G67" s="2" t="n"/>
      <c r="H67" s="2" t="n"/>
      <c r="I67" s="2" t="n"/>
      <c r="J67" s="2" t="n"/>
      <c r="K67" s="2" t="n"/>
      <c r="L67" s="2" t="n"/>
    </row>
    <row r="68">
      <c r="A68" s="2" t="n"/>
      <c r="B68" s="2" t="n"/>
      <c r="C68" s="2" t="n"/>
      <c r="D68" s="2" t="n"/>
      <c r="E68" s="2" t="n"/>
      <c r="F68" s="2" t="n"/>
      <c r="G68" s="2" t="n"/>
      <c r="H68" s="2" t="n"/>
      <c r="I68" s="2" t="n"/>
      <c r="J68" s="2" t="n"/>
      <c r="K68" s="2" t="n"/>
      <c r="L68" s="2" t="n"/>
    </row>
    <row r="69">
      <c r="A69" s="2" t="n"/>
      <c r="B69" s="2" t="n"/>
      <c r="C69" s="2" t="n"/>
      <c r="D69" s="2" t="n"/>
      <c r="E69" s="2" t="n"/>
      <c r="F69" s="2" t="n"/>
      <c r="G69" s="2" t="n"/>
      <c r="H69" s="2" t="n"/>
      <c r="I69" s="2" t="n"/>
      <c r="J69" s="2" t="n"/>
      <c r="K69" s="2" t="n"/>
      <c r="L69" s="2" t="n"/>
    </row>
    <row r="70">
      <c r="A70" s="2" t="n"/>
      <c r="B70" s="2" t="n"/>
      <c r="C70" s="2" t="n"/>
      <c r="D70" s="2" t="n"/>
      <c r="E70" s="2" t="n"/>
      <c r="F70" s="2" t="n"/>
      <c r="G70" s="2" t="n"/>
      <c r="H70" s="2" t="n"/>
      <c r="I70" s="2" t="n"/>
      <c r="J70" s="2" t="n"/>
      <c r="K70" s="2" t="n"/>
      <c r="L70" s="2" t="n"/>
    </row>
    <row r="71">
      <c r="A71" s="2" t="n"/>
      <c r="B71" s="2" t="n"/>
      <c r="C71" s="2" t="n"/>
      <c r="D71" s="2" t="n"/>
      <c r="E71" s="2" t="n"/>
      <c r="F71" s="2" t="n"/>
      <c r="G71" s="2" t="n"/>
      <c r="H71" s="2" t="n"/>
      <c r="I71" s="2" t="n"/>
      <c r="J71" s="2" t="n"/>
      <c r="K71" s="2" t="n"/>
      <c r="L71" s="2" t="n"/>
    </row>
    <row r="72">
      <c r="A72" s="2" t="n"/>
      <c r="B72" s="2" t="n"/>
      <c r="C72" s="2" t="n"/>
      <c r="D72" s="2" t="n"/>
      <c r="E72" s="2" t="n"/>
      <c r="F72" s="2" t="n"/>
      <c r="G72" s="2" t="n"/>
      <c r="H72" s="2" t="n"/>
      <c r="I72" s="2" t="n"/>
      <c r="J72" s="2" t="n"/>
      <c r="K72" s="2" t="n"/>
      <c r="L72" s="2" t="n"/>
    </row>
    <row r="73">
      <c r="A73" s="2" t="n"/>
      <c r="B73" s="2" t="n"/>
      <c r="C73" s="2" t="n"/>
      <c r="D73" s="2" t="n"/>
      <c r="E73" s="2" t="n"/>
      <c r="F73" s="2" t="n"/>
      <c r="G73" s="2" t="n"/>
      <c r="H73" s="2" t="n"/>
      <c r="I73" s="2" t="n"/>
      <c r="J73" s="2" t="n"/>
      <c r="K73" s="2" t="n"/>
      <c r="L73" s="2" t="n"/>
    </row>
    <row r="74">
      <c r="A74" s="2" t="n"/>
      <c r="B74" s="2" t="n"/>
      <c r="C74" s="2" t="n"/>
      <c r="D74" s="2" t="n"/>
      <c r="E74" s="2" t="n"/>
      <c r="F74" s="2" t="n"/>
      <c r="G74" s="2" t="n"/>
      <c r="H74" s="2" t="n"/>
      <c r="I74" s="2" t="n"/>
      <c r="J74" s="2" t="n"/>
      <c r="K74" s="2" t="n"/>
      <c r="L74" s="2" t="n"/>
    </row>
    <row r="75">
      <c r="A75" s="2" t="n"/>
      <c r="B75" s="2" t="n"/>
      <c r="C75" s="2" t="n"/>
      <c r="D75" s="2" t="n"/>
      <c r="E75" s="2" t="n"/>
      <c r="F75" s="2" t="n"/>
      <c r="G75" s="2" t="n"/>
      <c r="H75" s="2" t="n"/>
      <c r="I75" s="2" t="n"/>
      <c r="J75" s="2" t="n"/>
      <c r="K75" s="2" t="n"/>
      <c r="L75" s="2" t="n"/>
    </row>
    <row r="76">
      <c r="A76" s="2" t="n"/>
      <c r="B76" s="2" t="n"/>
      <c r="C76" s="2" t="n"/>
      <c r="D76" s="2" t="n"/>
      <c r="E76" s="2" t="n"/>
      <c r="F76" s="2" t="n"/>
      <c r="G76" s="2" t="n"/>
      <c r="H76" s="2" t="n"/>
      <c r="I76" s="2" t="n"/>
      <c r="J76" s="2" t="n"/>
      <c r="K76" s="2" t="n"/>
      <c r="L76" s="2" t="n"/>
    </row>
    <row r="77">
      <c r="A77" s="2" t="n"/>
      <c r="B77" s="2" t="n"/>
      <c r="C77" s="2" t="n"/>
      <c r="D77" s="2" t="n"/>
      <c r="E77" s="2" t="n"/>
      <c r="F77" s="2" t="n"/>
      <c r="G77" s="2" t="n"/>
      <c r="H77" s="2" t="n"/>
      <c r="I77" s="2" t="n"/>
      <c r="J77" s="2" t="n"/>
      <c r="K77" s="2" t="n"/>
      <c r="L77" s="2" t="n"/>
    </row>
    <row r="78">
      <c r="A78" s="2" t="n"/>
      <c r="B78" s="2" t="n"/>
      <c r="C78" s="2" t="n"/>
      <c r="D78" s="2" t="n"/>
      <c r="E78" s="2" t="n"/>
      <c r="F78" s="2" t="n"/>
      <c r="G78" s="2" t="n"/>
      <c r="H78" s="2" t="n"/>
      <c r="I78" s="2" t="n"/>
      <c r="J78" s="2" t="n"/>
      <c r="K78" s="2" t="n"/>
      <c r="L78" s="2" t="n"/>
    </row>
    <row r="79">
      <c r="A79" s="2" t="n"/>
      <c r="B79" s="2" t="n"/>
      <c r="C79" s="2" t="n"/>
      <c r="D79" s="2" t="n"/>
      <c r="E79" s="2" t="n"/>
      <c r="F79" s="2" t="n"/>
      <c r="G79" s="2" t="n"/>
      <c r="H79" s="2" t="n"/>
      <c r="I79" s="2" t="n"/>
      <c r="J79" s="2" t="n"/>
      <c r="K79" s="2" t="n"/>
      <c r="L79" s="2" t="n"/>
    </row>
    <row r="80">
      <c r="A80" s="2" t="n"/>
      <c r="B80" s="2" t="n"/>
      <c r="C80" s="2" t="n"/>
      <c r="D80" s="2" t="n"/>
      <c r="E80" s="2" t="n"/>
      <c r="F80" s="2" t="n"/>
      <c r="G80" s="2" t="n"/>
      <c r="H80" s="2" t="n"/>
      <c r="I80" s="2" t="n"/>
      <c r="J80" s="2" t="n"/>
      <c r="K80" s="2" t="n"/>
      <c r="L80" s="2" t="n"/>
    </row>
    <row r="81">
      <c r="A81" s="2" t="n"/>
      <c r="B81" s="2" t="n"/>
      <c r="C81" s="2" t="n"/>
      <c r="D81" s="2" t="n"/>
      <c r="E81" s="2" t="n"/>
      <c r="F81" s="2" t="n"/>
      <c r="G81" s="2" t="n"/>
      <c r="H81" s="2" t="n"/>
      <c r="I81" s="2" t="n"/>
      <c r="J81" s="2" t="n"/>
      <c r="K81" s="2" t="n"/>
      <c r="L81" s="2" t="n"/>
    </row>
    <row r="82">
      <c r="A82" s="2" t="n"/>
      <c r="B82" s="2" t="n"/>
      <c r="C82" s="2" t="n"/>
      <c r="D82" s="2" t="n"/>
      <c r="E82" s="2" t="n"/>
      <c r="F82" s="2" t="n"/>
      <c r="G82" s="2" t="n"/>
      <c r="H82" s="2" t="n"/>
      <c r="I82" s="2" t="n"/>
      <c r="J82" s="2" t="n"/>
      <c r="K82" s="2" t="n"/>
      <c r="L82" s="2" t="n"/>
    </row>
    <row r="83">
      <c r="A83" s="2" t="n"/>
      <c r="B83" s="2" t="n"/>
      <c r="C83" s="2" t="n"/>
      <c r="D83" s="2" t="n"/>
      <c r="E83" s="2" t="n"/>
      <c r="F83" s="2" t="n"/>
      <c r="G83" s="2" t="n"/>
      <c r="H83" s="2" t="n"/>
      <c r="I83" s="2" t="n"/>
      <c r="J83" s="2" t="n"/>
      <c r="K83" s="2" t="n"/>
      <c r="L83" s="2" t="n"/>
    </row>
    <row r="84">
      <c r="A84" s="2" t="n"/>
      <c r="B84" s="2" t="n"/>
      <c r="C84" s="2" t="n"/>
      <c r="D84" s="2" t="n"/>
      <c r="E84" s="2" t="n"/>
      <c r="F84" s="2" t="n"/>
      <c r="G84" s="2" t="n"/>
      <c r="H84" s="2" t="n"/>
      <c r="I84" s="2" t="n"/>
      <c r="J84" s="2" t="n"/>
      <c r="K84" s="2" t="n"/>
      <c r="L84" s="2" t="n"/>
    </row>
    <row r="85">
      <c r="A85" s="2" t="n"/>
      <c r="B85" s="2" t="n"/>
      <c r="C85" s="2" t="n"/>
      <c r="D85" s="2" t="n"/>
      <c r="E85" s="2" t="n"/>
      <c r="F85" s="2" t="n"/>
      <c r="G85" s="2" t="n"/>
      <c r="H85" s="2" t="n"/>
      <c r="I85" s="2" t="n"/>
      <c r="J85" s="2" t="n"/>
      <c r="K85" s="2" t="n"/>
      <c r="L85" s="2" t="n"/>
    </row>
    <row r="86">
      <c r="A86" s="2" t="n"/>
      <c r="B86" s="2" t="n"/>
      <c r="C86" s="2" t="n"/>
      <c r="D86" s="2" t="n"/>
      <c r="E86" s="2" t="n"/>
      <c r="F86" s="2" t="n"/>
      <c r="G86" s="2" t="n"/>
      <c r="H86" s="2" t="n"/>
      <c r="I86" s="2" t="n"/>
      <c r="J86" s="2" t="n"/>
      <c r="K86" s="2" t="n"/>
      <c r="L86" s="2" t="n"/>
    </row>
    <row r="87">
      <c r="A87" s="2" t="n"/>
      <c r="B87" s="2" t="n"/>
      <c r="C87" s="2" t="n"/>
      <c r="D87" s="2" t="n"/>
      <c r="E87" s="2" t="n"/>
      <c r="F87" s="2" t="n"/>
      <c r="G87" s="2" t="n"/>
      <c r="H87" s="2" t="n"/>
      <c r="I87" s="2" t="n"/>
      <c r="J87" s="2" t="n"/>
      <c r="K87" s="2" t="n"/>
      <c r="L87" s="2" t="n"/>
    </row>
    <row r="88">
      <c r="A88" s="2" t="n"/>
      <c r="B88" s="2" t="n"/>
      <c r="C88" s="2" t="n"/>
      <c r="D88" s="2" t="n"/>
      <c r="E88" s="2" t="n"/>
      <c r="F88" s="2" t="n"/>
      <c r="G88" s="2" t="n"/>
      <c r="H88" s="2" t="n"/>
      <c r="I88" s="2" t="n"/>
      <c r="J88" s="2" t="n"/>
      <c r="K88" s="2" t="n"/>
      <c r="L88" s="2" t="n"/>
    </row>
    <row r="89">
      <c r="A89" s="2" t="n"/>
      <c r="B89" s="2" t="n"/>
      <c r="C89" s="2" t="n"/>
      <c r="D89" s="2" t="n"/>
      <c r="E89" s="2" t="n"/>
      <c r="F89" s="2" t="n"/>
      <c r="G89" s="2" t="n"/>
      <c r="H89" s="2" t="n"/>
      <c r="I89" s="2" t="n"/>
      <c r="J89" s="2" t="n"/>
      <c r="K89" s="2" t="n"/>
      <c r="L89" s="2" t="n"/>
    </row>
    <row r="90">
      <c r="A90" s="2" t="n"/>
      <c r="B90" s="2" t="n"/>
      <c r="C90" s="2" t="n"/>
      <c r="D90" s="2" t="n"/>
      <c r="E90" s="2" t="n"/>
      <c r="F90" s="2" t="n"/>
      <c r="G90" s="2" t="n"/>
      <c r="H90" s="2" t="n"/>
      <c r="I90" s="2" t="n"/>
      <c r="J90" s="2" t="n"/>
      <c r="K90" s="2" t="n"/>
      <c r="L90" s="2" t="n"/>
    </row>
    <row r="91">
      <c r="A91" s="2" t="n"/>
      <c r="B91" s="2" t="n"/>
      <c r="C91" s="2" t="n"/>
      <c r="D91" s="2" t="n"/>
      <c r="E91" s="2" t="n"/>
      <c r="F91" s="2" t="n"/>
      <c r="G91" s="2" t="n"/>
      <c r="H91" s="2" t="n"/>
      <c r="I91" s="2" t="n"/>
      <c r="J91" s="2" t="n"/>
      <c r="K91" s="2" t="n"/>
      <c r="L91" s="2" t="n"/>
    </row>
    <row r="92">
      <c r="A92" s="2" t="n"/>
      <c r="B92" s="2" t="n"/>
      <c r="C92" s="2" t="n"/>
      <c r="D92" s="2" t="n"/>
      <c r="E92" s="2" t="n"/>
      <c r="F92" s="2" t="n"/>
      <c r="G92" s="2" t="n"/>
      <c r="H92" s="2" t="n"/>
      <c r="I92" s="2" t="n"/>
      <c r="J92" s="2" t="n"/>
      <c r="K92" s="2" t="n"/>
      <c r="L92" s="2" t="n"/>
    </row>
    <row r="93">
      <c r="A93" s="2" t="n"/>
      <c r="B93" s="2" t="n"/>
      <c r="C93" s="2" t="n"/>
      <c r="D93" s="2" t="n"/>
      <c r="E93" s="2" t="n"/>
      <c r="F93" s="2" t="n"/>
      <c r="G93" s="2" t="n"/>
      <c r="H93" s="2" t="n"/>
      <c r="I93" s="2" t="n"/>
      <c r="J93" s="2" t="n"/>
      <c r="K93" s="2" t="n"/>
      <c r="L93" s="2" t="n"/>
    </row>
    <row r="94">
      <c r="A94" s="2" t="n"/>
      <c r="B94" s="2" t="n"/>
      <c r="C94" s="2" t="n"/>
      <c r="D94" s="2" t="n"/>
      <c r="E94" s="2" t="n"/>
      <c r="F94" s="2" t="n"/>
      <c r="G94" s="2" t="n"/>
      <c r="H94" s="2" t="n"/>
      <c r="I94" s="2" t="n"/>
      <c r="J94" s="2" t="n"/>
      <c r="K94" s="2" t="n"/>
      <c r="L94" s="2" t="n"/>
    </row>
    <row r="95">
      <c r="A95" s="2" t="n"/>
      <c r="B95" s="2" t="n"/>
      <c r="C95" s="2" t="n"/>
      <c r="D95" s="2" t="n"/>
      <c r="E95" s="2" t="n"/>
      <c r="F95" s="2" t="n"/>
      <c r="G95" s="2" t="n"/>
      <c r="H95" s="2" t="n"/>
      <c r="I95" s="2" t="n"/>
      <c r="J95" s="2" t="n"/>
      <c r="K95" s="2" t="n"/>
      <c r="L95" s="2" t="n"/>
    </row>
    <row r="96">
      <c r="A96" s="2" t="n"/>
      <c r="B96" s="2" t="n"/>
      <c r="C96" s="2" t="n"/>
      <c r="D96" s="2" t="n"/>
      <c r="E96" s="2" t="n"/>
      <c r="F96" s="2" t="n"/>
      <c r="G96" s="2" t="n"/>
      <c r="H96" s="2" t="n"/>
      <c r="I96" s="2" t="n"/>
      <c r="J96" s="2" t="n"/>
      <c r="K96" s="2" t="n"/>
      <c r="L96" s="2" t="n"/>
    </row>
    <row r="97">
      <c r="A97" s="2" t="n"/>
      <c r="B97" s="2" t="n"/>
      <c r="C97" s="2" t="n"/>
      <c r="D97" s="2" t="n"/>
      <c r="E97" s="2" t="n"/>
      <c r="F97" s="2" t="n"/>
      <c r="G97" s="2" t="n"/>
      <c r="H97" s="2" t="n"/>
      <c r="I97" s="2" t="n"/>
      <c r="J97" s="2" t="n"/>
      <c r="K97" s="2" t="n"/>
      <c r="L97" s="2" t="n"/>
    </row>
    <row r="98">
      <c r="A98" s="2" t="n"/>
      <c r="B98" s="2" t="n"/>
      <c r="C98" s="2" t="n"/>
      <c r="D98" s="2" t="n"/>
      <c r="E98" s="2" t="n"/>
      <c r="F98" s="2" t="n"/>
      <c r="G98" s="2" t="n"/>
      <c r="H98" s="2" t="n"/>
      <c r="I98" s="2" t="n"/>
      <c r="J98" s="2" t="n"/>
      <c r="K98" s="2" t="n"/>
      <c r="L98" s="2" t="n"/>
    </row>
    <row r="99">
      <c r="A99" s="2" t="n"/>
      <c r="B99" s="2" t="n"/>
      <c r="C99" s="2" t="n"/>
      <c r="D99" s="2" t="n"/>
      <c r="E99" s="2" t="n"/>
      <c r="F99" s="2" t="n"/>
      <c r="G99" s="2" t="n"/>
      <c r="H99" s="2" t="n"/>
      <c r="I99" s="2" t="n"/>
      <c r="J99" s="2" t="n"/>
      <c r="K99" s="2" t="n"/>
      <c r="L99" s="2" t="n"/>
    </row>
    <row r="100">
      <c r="A100" s="2" t="n"/>
      <c r="B100" s="2" t="n"/>
      <c r="C100" s="2" t="n"/>
      <c r="D100" s="2" t="n"/>
      <c r="E100" s="2" t="n"/>
      <c r="F100" s="2" t="n"/>
      <c r="G100" s="2" t="n"/>
      <c r="H100" s="2" t="n"/>
      <c r="I100" s="2" t="n"/>
      <c r="J100" s="2" t="n"/>
      <c r="K100" s="2" t="n"/>
      <c r="L100" s="2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5">
    <tabColor rgb="0046C8F5"/>
    <outlinePr summaryBelow="1" summaryRight="1"/>
    <pageSetUpPr/>
  </sheetPr>
  <dimension ref="A1:S100"/>
  <sheetViews>
    <sheetView showGridLines="0" showRowColHeaders="0" zoomScaleNormal="100" workbookViewId="0">
      <selection activeCell="A1" sqref="A1"/>
    </sheetView>
  </sheetViews>
  <sheetFormatPr baseColWidth="10" defaultColWidth="8.7109375" defaultRowHeight="15"/>
  <cols>
    <col width="2" customWidth="1" min="1" max="1"/>
    <col width="24" customWidth="1" min="2" max="2"/>
    <col width="16" customWidth="1" min="3" max="3"/>
    <col width="3" customWidth="1" min="4" max="4"/>
    <col width="24" customWidth="1" min="5" max="5"/>
    <col width="16" customWidth="1" min="6" max="6"/>
    <col width="3" customWidth="1" min="7" max="7"/>
    <col width="24" customWidth="1" min="8" max="8"/>
    <col width="16" customWidth="1" min="9" max="9"/>
    <col width="2" customWidth="1" min="10" max="10"/>
  </cols>
  <sheetData>
    <row r="1">
      <c r="A1" s="16" t="n"/>
      <c r="B1" s="16" t="n"/>
      <c r="C1" s="16" t="n"/>
      <c r="D1" s="16" t="n"/>
      <c r="E1" s="16" t="n"/>
      <c r="F1" s="16" t="n"/>
      <c r="G1" s="16" t="n"/>
      <c r="H1" s="16" t="n"/>
      <c r="I1" s="16" t="n"/>
      <c r="J1" s="16" t="n"/>
      <c r="K1" s="16" t="n"/>
      <c r="L1" s="16" t="n"/>
      <c r="M1" s="16" t="n"/>
      <c r="N1" s="16" t="n"/>
      <c r="O1" s="16" t="n"/>
      <c r="P1" s="16" t="n"/>
      <c r="Q1" s="16" t="n"/>
      <c r="R1" s="16" t="n"/>
      <c r="S1" s="16" t="n"/>
    </row>
    <row r="2" ht="20.25" customHeight="1">
      <c r="A2" s="16" t="n"/>
      <c r="B2" s="17" t="inlineStr">
        <is>
          <t>MELI — MODELO DE 3 ESTADOS</t>
        </is>
      </c>
      <c r="C2" s="16" t="n"/>
      <c r="D2" s="16" t="n"/>
      <c r="E2" s="16" t="n"/>
      <c r="F2" s="16" t="n"/>
      <c r="G2" s="16" t="n"/>
      <c r="H2" s="16" t="n"/>
      <c r="I2" s="16" t="n"/>
      <c r="J2" s="16" t="n"/>
      <c r="K2" s="16" t="n"/>
      <c r="L2" s="16" t="n"/>
      <c r="M2" s="16" t="n"/>
      <c r="N2" s="16" t="n"/>
      <c r="O2" s="16" t="n"/>
      <c r="P2" s="16" t="n"/>
      <c r="Q2" s="16" t="n"/>
      <c r="R2" s="16" t="n"/>
      <c r="S2" s="16" t="n"/>
    </row>
    <row r="3">
      <c r="A3" s="16" t="n"/>
      <c r="B3" s="18" t="inlineStr">
        <is>
          <t>Dashboard ejecutivo · Proyeccion FY2026E-FY2030E · USD millones</t>
        </is>
      </c>
      <c r="C3" s="16" t="n"/>
      <c r="D3" s="16" t="n"/>
      <c r="E3" s="16" t="n"/>
      <c r="F3" s="16" t="n"/>
      <c r="G3" s="16" t="n"/>
      <c r="H3" s="16" t="n"/>
      <c r="I3" s="16" t="n"/>
      <c r="J3" s="16" t="n"/>
      <c r="K3" s="16" t="n"/>
      <c r="L3" s="16" t="n"/>
      <c r="M3" s="16" t="n"/>
      <c r="N3" s="16" t="n"/>
      <c r="O3" s="16" t="n"/>
      <c r="P3" s="16" t="n"/>
      <c r="Q3" s="16" t="n"/>
      <c r="R3" s="16" t="n"/>
      <c r="S3" s="16" t="n"/>
    </row>
    <row r="4">
      <c r="A4" s="16" t="n"/>
      <c r="B4" s="16" t="n"/>
      <c r="C4" s="16" t="n"/>
      <c r="D4" s="16" t="n"/>
      <c r="E4" s="16" t="n"/>
      <c r="F4" s="16" t="n"/>
      <c r="G4" s="16" t="n"/>
      <c r="H4" s="16" t="n"/>
      <c r="I4" s="16" t="n"/>
      <c r="J4" s="16" t="n"/>
      <c r="K4" s="16" t="n"/>
      <c r="L4" s="16" t="n"/>
      <c r="M4" s="16" t="n"/>
      <c r="N4" s="16" t="n"/>
      <c r="O4" s="16" t="n"/>
      <c r="P4" s="16" t="n"/>
      <c r="Q4" s="16" t="n"/>
      <c r="R4" s="16" t="n"/>
      <c r="S4" s="16" t="n"/>
    </row>
    <row r="5">
      <c r="A5" s="16" t="n"/>
      <c r="B5" s="19" t="inlineStr">
        <is>
          <t>KPIs CLAVE — FY2030E</t>
        </is>
      </c>
      <c r="C5" s="16" t="n"/>
      <c r="D5" s="16" t="n"/>
      <c r="E5" s="16" t="n"/>
      <c r="F5" s="16" t="n"/>
      <c r="G5" s="16" t="n"/>
      <c r="H5" s="16" t="n"/>
      <c r="I5" s="16" t="n"/>
      <c r="J5" s="16" t="n"/>
      <c r="K5" s="16" t="n"/>
      <c r="L5" s="16" t="n"/>
      <c r="M5" s="16" t="n"/>
      <c r="N5" s="16" t="n"/>
      <c r="O5" s="16" t="n"/>
      <c r="P5" s="16" t="n"/>
      <c r="Q5" s="16" t="n"/>
      <c r="R5" s="16" t="n"/>
      <c r="S5" s="16" t="n"/>
    </row>
    <row r="6">
      <c r="A6" s="16" t="n"/>
      <c r="B6" s="20" t="inlineStr">
        <is>
          <t>Ingresos netos</t>
        </is>
      </c>
      <c r="D6" s="16" t="n"/>
      <c r="E6" s="20" t="inlineStr">
        <is>
          <t>CAGR ingresos FY25-FY30E</t>
        </is>
      </c>
      <c r="G6" s="16" t="n"/>
      <c r="H6" s="20" t="inlineStr">
        <is>
          <t>Ganancia neta</t>
        </is>
      </c>
      <c r="J6" s="16" t="n"/>
      <c r="K6" s="16" t="n"/>
      <c r="L6" s="16" t="n"/>
      <c r="M6" s="16" t="n"/>
      <c r="N6" s="16" t="n"/>
      <c r="O6" s="16" t="n"/>
      <c r="P6" s="16" t="n"/>
      <c r="Q6" s="16" t="n"/>
      <c r="R6" s="16" t="n"/>
      <c r="S6" s="16" t="n"/>
    </row>
    <row r="7">
      <c r="A7" s="16" t="n"/>
      <c r="B7" s="21">
        <f>Resultados!H5</f>
        <v/>
      </c>
      <c r="D7" s="16" t="n"/>
      <c r="E7" s="22">
        <f>(Resultados!H5/Resultados!C5)^(1/5)-1</f>
        <v/>
      </c>
      <c r="G7" s="16" t="n"/>
      <c r="H7" s="21">
        <f>Resultados!H19</f>
        <v/>
      </c>
      <c r="J7" s="16" t="n"/>
      <c r="K7" s="16" t="n"/>
      <c r="L7" s="16" t="n"/>
      <c r="M7" s="16" t="n"/>
      <c r="N7" s="16" t="n"/>
      <c r="O7" s="16" t="n"/>
      <c r="P7" s="16" t="n"/>
      <c r="Q7" s="16" t="n"/>
      <c r="R7" s="16" t="n"/>
      <c r="S7" s="16" t="n"/>
    </row>
    <row r="8">
      <c r="A8" s="16" t="n"/>
      <c r="B8" s="16" t="n"/>
      <c r="C8" s="16" t="n"/>
      <c r="D8" s="16" t="n"/>
      <c r="E8" s="16" t="n"/>
      <c r="F8" s="16" t="n"/>
      <c r="G8" s="16" t="n"/>
      <c r="H8" s="16" t="n"/>
      <c r="I8" s="16" t="n"/>
      <c r="J8" s="16" t="n"/>
      <c r="K8" s="16" t="n"/>
      <c r="L8" s="16" t="n"/>
      <c r="M8" s="16" t="n"/>
      <c r="N8" s="16" t="n"/>
      <c r="O8" s="16" t="n"/>
      <c r="P8" s="16" t="n"/>
      <c r="Q8" s="16" t="n"/>
      <c r="R8" s="16" t="n"/>
      <c r="S8" s="16" t="n"/>
    </row>
    <row r="9">
      <c r="A9" s="16" t="n"/>
      <c r="B9" s="16" t="n"/>
      <c r="C9" s="16" t="n"/>
      <c r="D9" s="16" t="n"/>
      <c r="E9" s="16" t="n"/>
      <c r="F9" s="16" t="n"/>
      <c r="G9" s="16" t="n"/>
      <c r="H9" s="16" t="n"/>
      <c r="I9" s="16" t="n"/>
      <c r="J9" s="16" t="n"/>
      <c r="K9" s="16" t="n"/>
      <c r="L9" s="16" t="n"/>
      <c r="M9" s="16" t="n"/>
      <c r="N9" s="16" t="n"/>
      <c r="O9" s="16" t="n"/>
      <c r="P9" s="16" t="n"/>
      <c r="Q9" s="16" t="n"/>
      <c r="R9" s="16" t="n"/>
      <c r="S9" s="16" t="n"/>
    </row>
    <row r="10">
      <c r="A10" s="16" t="n"/>
      <c r="B10" s="20" t="inlineStr">
        <is>
          <t>Margen neto</t>
        </is>
      </c>
      <c r="D10" s="16" t="n"/>
      <c r="E10" s="20" t="inlineStr">
        <is>
          <t>ROE (Gcia. neta / Patrimonio)</t>
        </is>
      </c>
      <c r="G10" s="16" t="n"/>
      <c r="H10" s="20" t="inlineStr">
        <is>
          <t>Caja y equivalentes</t>
        </is>
      </c>
      <c r="J10" s="16" t="n"/>
      <c r="K10" s="16" t="n"/>
      <c r="L10" s="16" t="n"/>
      <c r="M10" s="16" t="n"/>
      <c r="N10" s="16" t="n"/>
      <c r="O10" s="16" t="n"/>
      <c r="P10" s="16" t="n"/>
      <c r="Q10" s="16" t="n"/>
      <c r="R10" s="16" t="n"/>
      <c r="S10" s="16" t="n"/>
    </row>
    <row r="11">
      <c r="A11" s="16" t="n"/>
      <c r="B11" s="22">
        <f>Resultados!H19/Resultados!H5</f>
        <v/>
      </c>
      <c r="D11" s="16" t="n"/>
      <c r="E11" s="23">
        <f>Resultados!H19/Balance!H36</f>
        <v/>
      </c>
      <c r="G11" s="16" t="n"/>
      <c r="H11" s="21">
        <f>Balance!H5</f>
        <v/>
      </c>
      <c r="J11" s="16" t="n"/>
      <c r="K11" s="16" t="n"/>
      <c r="L11" s="16" t="n"/>
      <c r="M11" s="16" t="n"/>
      <c r="N11" s="16" t="n"/>
      <c r="O11" s="16" t="n"/>
      <c r="P11" s="16" t="n"/>
      <c r="Q11" s="16" t="n"/>
      <c r="R11" s="16" t="n"/>
      <c r="S11" s="16" t="n"/>
    </row>
    <row r="12">
      <c r="A12" s="16" t="n"/>
      <c r="B12" s="16" t="n"/>
      <c r="C12" s="16" t="n"/>
      <c r="D12" s="16" t="n"/>
      <c r="E12" s="16" t="n"/>
      <c r="F12" s="16" t="n"/>
      <c r="G12" s="16" t="n"/>
      <c r="H12" s="16" t="n"/>
      <c r="I12" s="16" t="n"/>
      <c r="J12" s="16" t="n"/>
      <c r="K12" s="16" t="n"/>
      <c r="L12" s="16" t="n"/>
      <c r="M12" s="16" t="n"/>
      <c r="N12" s="16" t="n"/>
      <c r="O12" s="16" t="n"/>
      <c r="P12" s="16" t="n"/>
      <c r="Q12" s="16" t="n"/>
      <c r="R12" s="16" t="n"/>
      <c r="S12" s="16" t="n"/>
    </row>
    <row r="13">
      <c r="A13" s="16" t="n"/>
      <c r="B13" s="16" t="n"/>
      <c r="C13" s="16" t="n"/>
      <c r="D13" s="16" t="n"/>
      <c r="E13" s="16" t="n"/>
      <c r="F13" s="16" t="n"/>
      <c r="G13" s="16" t="n"/>
      <c r="H13" s="16" t="n"/>
      <c r="I13" s="16" t="n"/>
      <c r="J13" s="16" t="n"/>
      <c r="K13" s="16" t="n"/>
      <c r="L13" s="16" t="n"/>
      <c r="M13" s="16" t="n"/>
      <c r="N13" s="16" t="n"/>
      <c r="O13" s="16" t="n"/>
      <c r="P13" s="16" t="n"/>
      <c r="Q13" s="16" t="n"/>
      <c r="R13" s="16" t="n"/>
      <c r="S13" s="16" t="n"/>
    </row>
    <row r="14">
      <c r="A14" s="16" t="n"/>
      <c r="B14" s="20" t="inlineStr">
        <is>
          <t>Total activo</t>
        </is>
      </c>
      <c r="D14" s="16" t="n"/>
      <c r="E14" s="20" t="inlineStr">
        <is>
          <t>Deuda financiera total</t>
        </is>
      </c>
      <c r="G14" s="16" t="n"/>
      <c r="H14" s="16" t="n"/>
      <c r="I14" s="16" t="n"/>
      <c r="J14" s="16" t="n"/>
      <c r="K14" s="16" t="n"/>
      <c r="L14" s="16" t="n"/>
      <c r="M14" s="16" t="n"/>
      <c r="N14" s="16" t="n"/>
      <c r="O14" s="16" t="n"/>
      <c r="P14" s="16" t="n"/>
      <c r="Q14" s="16" t="n"/>
      <c r="R14" s="16" t="n"/>
      <c r="S14" s="16" t="n"/>
    </row>
    <row r="15">
      <c r="A15" s="16" t="n"/>
      <c r="B15" s="21">
        <f>Balance!H16</f>
        <v/>
      </c>
      <c r="D15" s="16" t="n"/>
      <c r="E15" s="21">
        <f>Balance!H21+Balance!H25</f>
        <v/>
      </c>
      <c r="G15" s="16" t="n"/>
      <c r="H15" s="16" t="n"/>
      <c r="I15" s="16" t="n"/>
      <c r="J15" s="16" t="n"/>
      <c r="K15" s="16" t="n"/>
      <c r="L15" s="16" t="n"/>
      <c r="M15" s="16" t="n"/>
      <c r="N15" s="16" t="n"/>
      <c r="O15" s="16" t="n"/>
      <c r="P15" s="16" t="n"/>
      <c r="Q15" s="16" t="n"/>
      <c r="R15" s="16" t="n"/>
      <c r="S15" s="16" t="n"/>
    </row>
    <row r="16">
      <c r="A16" s="16" t="n"/>
      <c r="B16" s="19" t="inlineStr">
        <is>
          <t>EVOLUCION FY2024 - FY2030E</t>
        </is>
      </c>
      <c r="C16" s="16" t="n"/>
      <c r="D16" s="16" t="n"/>
      <c r="E16" s="16" t="n"/>
      <c r="F16" s="16" t="n"/>
      <c r="G16" s="16" t="n"/>
      <c r="H16" s="16" t="n"/>
      <c r="I16" s="16" t="n"/>
      <c r="J16" s="16" t="n"/>
      <c r="K16" s="16" t="n"/>
      <c r="L16" s="16" t="n"/>
      <c r="M16" s="16" t="n"/>
      <c r="N16" s="16" t="n"/>
      <c r="O16" s="16" t="n"/>
      <c r="P16" s="16" t="n"/>
      <c r="Q16" s="16" t="n"/>
      <c r="R16" s="16" t="n"/>
      <c r="S16" s="16" t="n"/>
    </row>
    <row r="17">
      <c r="A17" s="16" t="n"/>
      <c r="B17" s="16" t="n"/>
      <c r="C17" s="16" t="n"/>
      <c r="D17" s="16" t="n"/>
      <c r="E17" s="16" t="n"/>
      <c r="F17" s="16" t="n"/>
      <c r="G17" s="16" t="n"/>
      <c r="H17" s="16" t="n"/>
      <c r="I17" s="16" t="n"/>
      <c r="J17" s="16" t="n"/>
      <c r="K17" s="16" t="n"/>
      <c r="L17" s="16" t="n"/>
      <c r="M17" s="16" t="n"/>
      <c r="N17" s="16" t="n"/>
      <c r="O17" s="16" t="n"/>
      <c r="P17" s="16" t="n"/>
      <c r="Q17" s="16" t="n"/>
      <c r="R17" s="16" t="n"/>
      <c r="S17" s="16" t="n"/>
    </row>
    <row r="18">
      <c r="A18" s="16" t="n"/>
      <c r="B18" s="16" t="n"/>
      <c r="C18" s="16" t="n"/>
      <c r="D18" s="16" t="n"/>
      <c r="E18" s="16" t="n"/>
      <c r="F18" s="16" t="n"/>
      <c r="G18" s="16" t="n"/>
      <c r="H18" s="16" t="n"/>
      <c r="I18" s="16" t="n"/>
      <c r="J18" s="16" t="n"/>
      <c r="K18" s="16" t="n"/>
      <c r="L18" s="16" t="n"/>
      <c r="M18" s="16" t="n"/>
      <c r="N18" s="16" t="n"/>
      <c r="O18" s="16" t="n"/>
      <c r="P18" s="16" t="n"/>
      <c r="Q18" s="16" t="n"/>
      <c r="R18" s="16" t="n"/>
      <c r="S18" s="16" t="n"/>
    </row>
    <row r="19">
      <c r="A19" s="16" t="n"/>
      <c r="B19" s="16" t="n"/>
      <c r="C19" s="16" t="n"/>
      <c r="D19" s="16" t="n"/>
      <c r="E19" s="16" t="n"/>
      <c r="F19" s="16" t="n"/>
      <c r="G19" s="16" t="n"/>
      <c r="H19" s="16" t="n"/>
      <c r="I19" s="16" t="n"/>
      <c r="J19" s="16" t="n"/>
      <c r="K19" s="16" t="n"/>
      <c r="L19" s="16" t="n"/>
      <c r="M19" s="16" t="n"/>
      <c r="N19" s="16" t="n"/>
      <c r="O19" s="16" t="n"/>
      <c r="P19" s="16" t="n"/>
      <c r="Q19" s="16" t="n"/>
      <c r="R19" s="16" t="n"/>
      <c r="S19" s="16" t="n"/>
    </row>
    <row r="20">
      <c r="A20" s="16" t="n"/>
      <c r="B20" s="16" t="n"/>
      <c r="C20" s="16" t="n"/>
      <c r="D20" s="16" t="n"/>
      <c r="E20" s="16" t="n"/>
      <c r="F20" s="16" t="n"/>
      <c r="G20" s="16" t="n"/>
      <c r="H20" s="16" t="n"/>
      <c r="I20" s="16" t="n"/>
      <c r="J20" s="16" t="n"/>
      <c r="K20" s="16" t="n"/>
      <c r="L20" s="16" t="n"/>
      <c r="M20" s="16" t="n"/>
      <c r="N20" s="16" t="n"/>
      <c r="O20" s="16" t="n"/>
      <c r="P20" s="16" t="n"/>
      <c r="Q20" s="16" t="n"/>
      <c r="R20" s="16" t="n"/>
      <c r="S20" s="16" t="n"/>
    </row>
    <row r="21">
      <c r="A21" s="16" t="n"/>
      <c r="B21" s="16" t="n"/>
      <c r="C21" s="16" t="n"/>
      <c r="D21" s="16" t="n"/>
      <c r="E21" s="16" t="n"/>
      <c r="F21" s="16" t="n"/>
      <c r="G21" s="16" t="n"/>
      <c r="H21" s="16" t="n"/>
      <c r="I21" s="16" t="n"/>
      <c r="J21" s="16" t="n"/>
      <c r="K21" s="16" t="n"/>
      <c r="L21" s="16" t="n"/>
      <c r="M21" s="16" t="n"/>
      <c r="N21" s="16" t="n"/>
      <c r="O21" s="16" t="n"/>
      <c r="P21" s="16" t="n"/>
      <c r="Q21" s="16" t="n"/>
      <c r="R21" s="16" t="n"/>
      <c r="S21" s="16" t="n"/>
    </row>
    <row r="22">
      <c r="A22" s="16" t="n"/>
      <c r="B22" s="16" t="n"/>
      <c r="C22" s="16" t="n"/>
      <c r="D22" s="16" t="n"/>
      <c r="E22" s="16" t="n"/>
      <c r="F22" s="16" t="n"/>
      <c r="G22" s="16" t="n"/>
      <c r="H22" s="16" t="n"/>
      <c r="I22" s="16" t="n"/>
      <c r="J22" s="16" t="n"/>
      <c r="K22" s="16" t="n"/>
      <c r="L22" s="16" t="n"/>
      <c r="M22" s="16" t="n"/>
      <c r="N22" s="16" t="n"/>
      <c r="O22" s="16" t="n"/>
      <c r="P22" s="16" t="n"/>
      <c r="Q22" s="16" t="n"/>
      <c r="R22" s="16" t="n"/>
      <c r="S22" s="16" t="n"/>
    </row>
    <row r="23">
      <c r="A23" s="16" t="n"/>
      <c r="B23" s="16" t="n"/>
      <c r="C23" s="16" t="n"/>
      <c r="D23" s="16" t="n"/>
      <c r="E23" s="16" t="n"/>
      <c r="F23" s="16" t="n"/>
      <c r="G23" s="16" t="n"/>
      <c r="H23" s="16" t="n"/>
      <c r="I23" s="16" t="n"/>
      <c r="J23" s="16" t="n"/>
      <c r="K23" s="16" t="n"/>
      <c r="L23" s="16" t="n"/>
      <c r="M23" s="16" t="n"/>
      <c r="N23" s="16" t="n"/>
      <c r="O23" s="16" t="n"/>
      <c r="P23" s="16" t="n"/>
      <c r="Q23" s="16" t="n"/>
      <c r="R23" s="16" t="n"/>
      <c r="S23" s="16" t="n"/>
    </row>
    <row r="24">
      <c r="A24" s="16" t="n"/>
      <c r="B24" s="16" t="n"/>
      <c r="C24" s="16" t="n"/>
      <c r="D24" s="16" t="n"/>
      <c r="E24" s="16" t="n"/>
      <c r="F24" s="16" t="n"/>
      <c r="G24" s="16" t="n"/>
      <c r="H24" s="16" t="n"/>
      <c r="I24" s="16" t="n"/>
      <c r="J24" s="16" t="n"/>
      <c r="K24" s="16" t="n"/>
      <c r="L24" s="16" t="n"/>
      <c r="M24" s="16" t="n"/>
      <c r="N24" s="16" t="n"/>
      <c r="O24" s="16" t="n"/>
      <c r="P24" s="16" t="n"/>
      <c r="Q24" s="16" t="n"/>
      <c r="R24" s="16" t="n"/>
      <c r="S24" s="16" t="n"/>
    </row>
    <row r="25">
      <c r="A25" s="16" t="n"/>
      <c r="B25" s="16" t="n"/>
      <c r="C25" s="16" t="n"/>
      <c r="D25" s="16" t="n"/>
      <c r="E25" s="16" t="n"/>
      <c r="F25" s="16" t="n"/>
      <c r="G25" s="16" t="n"/>
      <c r="H25" s="16" t="n"/>
      <c r="I25" s="16" t="n"/>
      <c r="J25" s="16" t="n"/>
      <c r="K25" s="16" t="n"/>
      <c r="L25" s="16" t="n"/>
      <c r="M25" s="16" t="n"/>
      <c r="N25" s="16" t="n"/>
      <c r="O25" s="16" t="n"/>
      <c r="P25" s="16" t="n"/>
      <c r="Q25" s="16" t="n"/>
      <c r="R25" s="16" t="n"/>
      <c r="S25" s="16" t="n"/>
    </row>
    <row r="26">
      <c r="A26" s="16" t="n"/>
      <c r="B26" s="16" t="n"/>
      <c r="C26" s="16" t="n"/>
      <c r="D26" s="16" t="n"/>
      <c r="E26" s="16" t="n"/>
      <c r="F26" s="16" t="n"/>
      <c r="G26" s="16" t="n"/>
      <c r="H26" s="16" t="n"/>
      <c r="I26" s="16" t="n"/>
      <c r="J26" s="16" t="n"/>
      <c r="K26" s="16" t="n"/>
      <c r="L26" s="16" t="n"/>
      <c r="M26" s="16" t="n"/>
      <c r="N26" s="16" t="n"/>
      <c r="O26" s="16" t="n"/>
      <c r="P26" s="16" t="n"/>
      <c r="Q26" s="16" t="n"/>
      <c r="R26" s="16" t="n"/>
      <c r="S26" s="16" t="n"/>
    </row>
    <row r="27">
      <c r="A27" s="16" t="n"/>
      <c r="B27" s="16" t="n"/>
      <c r="C27" s="16" t="n"/>
      <c r="D27" s="16" t="n"/>
      <c r="E27" s="16" t="n"/>
      <c r="F27" s="16" t="n"/>
      <c r="G27" s="16" t="n"/>
      <c r="H27" s="16" t="n"/>
      <c r="I27" s="16" t="n"/>
      <c r="J27" s="16" t="n"/>
      <c r="K27" s="16" t="n"/>
      <c r="L27" s="16" t="n"/>
      <c r="M27" s="16" t="n"/>
      <c r="N27" s="16" t="n"/>
      <c r="O27" s="16" t="n"/>
      <c r="P27" s="16" t="n"/>
      <c r="Q27" s="16" t="n"/>
      <c r="R27" s="16" t="n"/>
      <c r="S27" s="16" t="n"/>
    </row>
    <row r="28">
      <c r="A28" s="16" t="n"/>
      <c r="B28" s="16" t="n"/>
      <c r="C28" s="16" t="n"/>
      <c r="D28" s="16" t="n"/>
      <c r="E28" s="16" t="n"/>
      <c r="F28" s="16" t="n"/>
      <c r="G28" s="16" t="n"/>
      <c r="H28" s="16" t="n"/>
      <c r="I28" s="16" t="n"/>
      <c r="J28" s="16" t="n"/>
      <c r="K28" s="16" t="n"/>
      <c r="L28" s="16" t="n"/>
      <c r="M28" s="16" t="n"/>
      <c r="N28" s="16" t="n"/>
      <c r="O28" s="16" t="n"/>
      <c r="P28" s="16" t="n"/>
      <c r="Q28" s="16" t="n"/>
      <c r="R28" s="16" t="n"/>
      <c r="S28" s="16" t="n"/>
    </row>
    <row r="29">
      <c r="A29" s="16" t="n"/>
      <c r="B29" s="16" t="n"/>
      <c r="C29" s="16" t="n"/>
      <c r="D29" s="16" t="n"/>
      <c r="E29" s="16" t="n"/>
      <c r="F29" s="16" t="n"/>
      <c r="G29" s="16" t="n"/>
      <c r="H29" s="16" t="n"/>
      <c r="I29" s="16" t="n"/>
      <c r="J29" s="16" t="n"/>
      <c r="K29" s="16" t="n"/>
      <c r="L29" s="16" t="n"/>
      <c r="M29" s="16" t="n"/>
      <c r="N29" s="16" t="n"/>
      <c r="O29" s="16" t="n"/>
      <c r="P29" s="16" t="n"/>
      <c r="Q29" s="16" t="n"/>
      <c r="R29" s="16" t="n"/>
      <c r="S29" s="16" t="n"/>
    </row>
    <row r="30">
      <c r="A30" s="16" t="n"/>
      <c r="B30" s="16" t="n"/>
      <c r="C30" s="16" t="n"/>
      <c r="D30" s="16" t="n"/>
      <c r="E30" s="16" t="n"/>
      <c r="F30" s="16" t="n"/>
      <c r="G30" s="16" t="n"/>
      <c r="H30" s="16" t="n"/>
      <c r="I30" s="16" t="n"/>
      <c r="J30" s="16" t="n"/>
      <c r="K30" s="16" t="n"/>
      <c r="L30" s="16" t="n"/>
      <c r="M30" s="16" t="n"/>
      <c r="N30" s="16" t="n"/>
      <c r="O30" s="16" t="n"/>
      <c r="P30" s="16" t="n"/>
      <c r="Q30" s="16" t="n"/>
      <c r="R30" s="16" t="n"/>
      <c r="S30" s="16" t="n"/>
    </row>
    <row r="31">
      <c r="A31" s="16" t="n"/>
      <c r="B31" s="16" t="n"/>
      <c r="C31" s="16" t="n"/>
      <c r="D31" s="16" t="n"/>
      <c r="E31" s="16" t="n"/>
      <c r="F31" s="16" t="n"/>
      <c r="G31" s="16" t="n"/>
      <c r="H31" s="16" t="n"/>
      <c r="I31" s="16" t="n"/>
      <c r="J31" s="16" t="n"/>
      <c r="K31" s="16" t="n"/>
      <c r="L31" s="16" t="n"/>
      <c r="M31" s="16" t="n"/>
      <c r="N31" s="16" t="n"/>
      <c r="O31" s="16" t="n"/>
      <c r="P31" s="16" t="n"/>
      <c r="Q31" s="16" t="n"/>
      <c r="R31" s="16" t="n"/>
      <c r="S31" s="16" t="n"/>
    </row>
    <row r="32">
      <c r="A32" s="16" t="n"/>
      <c r="B32" s="16" t="n"/>
      <c r="C32" s="16" t="n"/>
      <c r="D32" s="16" t="n"/>
      <c r="E32" s="16" t="n"/>
      <c r="F32" s="16" t="n"/>
      <c r="G32" s="16" t="n"/>
      <c r="H32" s="16" t="n"/>
      <c r="I32" s="16" t="n"/>
      <c r="J32" s="16" t="n"/>
      <c r="K32" s="16" t="n"/>
      <c r="L32" s="16" t="n"/>
      <c r="M32" s="16" t="n"/>
      <c r="N32" s="16" t="n"/>
      <c r="O32" s="16" t="n"/>
      <c r="P32" s="16" t="n"/>
      <c r="Q32" s="16" t="n"/>
      <c r="R32" s="16" t="n"/>
      <c r="S32" s="16" t="n"/>
    </row>
    <row r="33">
      <c r="A33" s="16" t="n"/>
      <c r="B33" s="18" t="n"/>
      <c r="C33" s="16" t="n"/>
      <c r="D33" s="16" t="n"/>
      <c r="E33" s="16" t="n"/>
      <c r="F33" s="16" t="n"/>
      <c r="G33" s="16" t="n"/>
      <c r="H33" s="16" t="n"/>
      <c r="I33" s="16" t="n"/>
      <c r="J33" s="16" t="n"/>
      <c r="K33" s="16" t="n"/>
      <c r="L33" s="16" t="n"/>
      <c r="M33" s="16" t="n"/>
      <c r="N33" s="16" t="n"/>
      <c r="O33" s="16" t="n"/>
      <c r="P33" s="16" t="n"/>
      <c r="Q33" s="16" t="n"/>
      <c r="R33" s="16" t="n"/>
      <c r="S33" s="16" t="n"/>
    </row>
    <row r="34">
      <c r="A34" s="16" t="n"/>
      <c r="B34" s="16" t="n"/>
      <c r="C34" s="16" t="n"/>
      <c r="D34" s="16" t="n"/>
      <c r="E34" s="16" t="n"/>
      <c r="F34" s="16" t="n"/>
      <c r="G34" s="16" t="n"/>
      <c r="H34" s="16" t="n"/>
      <c r="I34" s="16" t="n"/>
      <c r="J34" s="16" t="n"/>
      <c r="K34" s="16" t="n"/>
      <c r="L34" s="16" t="n"/>
      <c r="M34" s="16" t="n"/>
      <c r="N34" s="16" t="n"/>
      <c r="O34" s="16" t="n"/>
      <c r="P34" s="16" t="n"/>
      <c r="Q34" s="16" t="n"/>
      <c r="R34" s="16" t="n"/>
      <c r="S34" s="16" t="n"/>
    </row>
    <row r="35">
      <c r="A35" s="16" t="n"/>
      <c r="B35" s="16" t="n"/>
      <c r="C35" s="16" t="n"/>
      <c r="D35" s="16" t="n"/>
      <c r="E35" s="16" t="n"/>
      <c r="F35" s="16" t="n"/>
      <c r="G35" s="16" t="n"/>
      <c r="H35" s="16" t="n"/>
      <c r="I35" s="16" t="n"/>
      <c r="J35" s="16" t="n"/>
      <c r="K35" s="16" t="n"/>
      <c r="L35" s="16" t="n"/>
      <c r="M35" s="16" t="n"/>
      <c r="N35" s="16" t="n"/>
      <c r="O35" s="16" t="n"/>
      <c r="P35" s="16" t="n"/>
      <c r="Q35" s="16" t="n"/>
      <c r="R35" s="16" t="n"/>
      <c r="S35" s="16" t="n"/>
    </row>
    <row r="36">
      <c r="A36" s="16" t="n"/>
      <c r="B36" s="16" t="n"/>
      <c r="C36" s="16" t="n"/>
      <c r="D36" s="16" t="n"/>
      <c r="E36" s="16" t="n"/>
      <c r="F36" s="16" t="n"/>
      <c r="G36" s="16" t="n"/>
      <c r="H36" s="16" t="n"/>
      <c r="I36" s="16" t="n"/>
      <c r="J36" s="16" t="n"/>
      <c r="K36" s="16" t="n"/>
      <c r="L36" s="16" t="n"/>
      <c r="M36" s="16" t="n"/>
      <c r="N36" s="16" t="n"/>
      <c r="O36" s="16" t="n"/>
      <c r="P36" s="16" t="n"/>
      <c r="Q36" s="16" t="n"/>
      <c r="R36" s="16" t="n"/>
      <c r="S36" s="16" t="n"/>
    </row>
    <row r="37">
      <c r="A37" s="16" t="n"/>
      <c r="B37" s="16" t="n"/>
      <c r="C37" s="16" t="n"/>
      <c r="D37" s="16" t="n"/>
      <c r="E37" s="16" t="n"/>
      <c r="F37" s="16" t="n"/>
      <c r="G37" s="16" t="n"/>
      <c r="H37" s="16" t="n"/>
      <c r="I37" s="16" t="n"/>
      <c r="J37" s="16" t="n"/>
      <c r="K37" s="16" t="n"/>
      <c r="L37" s="16" t="n"/>
      <c r="M37" s="16" t="n"/>
      <c r="N37" s="16" t="n"/>
      <c r="O37" s="16" t="n"/>
      <c r="P37" s="16" t="n"/>
      <c r="Q37" s="16" t="n"/>
      <c r="R37" s="16" t="n"/>
      <c r="S37" s="16" t="n"/>
    </row>
    <row r="38">
      <c r="A38" s="16" t="n"/>
      <c r="B38" s="16" t="n"/>
      <c r="C38" s="16" t="n"/>
      <c r="D38" s="16" t="n"/>
      <c r="E38" s="16" t="n"/>
      <c r="F38" s="16" t="n"/>
      <c r="G38" s="16" t="n"/>
      <c r="H38" s="16" t="n"/>
      <c r="I38" s="16" t="n"/>
      <c r="J38" s="16" t="n"/>
      <c r="K38" s="16" t="n"/>
      <c r="L38" s="16" t="n"/>
      <c r="M38" s="16" t="n"/>
      <c r="N38" s="16" t="n"/>
      <c r="O38" s="16" t="n"/>
      <c r="P38" s="16" t="n"/>
      <c r="Q38" s="16" t="n"/>
      <c r="R38" s="16" t="n"/>
      <c r="S38" s="16" t="n"/>
    </row>
    <row r="39">
      <c r="A39" s="16" t="n"/>
      <c r="B39" s="16" t="n"/>
      <c r="C39" s="16" t="n"/>
      <c r="D39" s="16" t="n"/>
      <c r="E39" s="16" t="n"/>
      <c r="F39" s="16" t="n"/>
      <c r="G39" s="16" t="n"/>
      <c r="H39" s="16" t="n"/>
      <c r="I39" s="16" t="n"/>
      <c r="J39" s="16" t="n"/>
      <c r="K39" s="16" t="n"/>
      <c r="L39" s="16" t="n"/>
      <c r="M39" s="16" t="n"/>
      <c r="N39" s="16" t="n"/>
      <c r="O39" s="16" t="n"/>
      <c r="P39" s="16" t="n"/>
      <c r="Q39" s="16" t="n"/>
      <c r="R39" s="16" t="n"/>
      <c r="S39" s="16" t="n"/>
    </row>
    <row r="40">
      <c r="A40" s="16" t="n"/>
      <c r="B40" s="16" t="n"/>
      <c r="C40" s="16" t="n"/>
      <c r="D40" s="16" t="n"/>
      <c r="E40" s="16" t="n"/>
      <c r="F40" s="16" t="n"/>
      <c r="G40" s="16" t="n"/>
      <c r="H40" s="16" t="n"/>
      <c r="I40" s="16" t="n"/>
      <c r="J40" s="16" t="n"/>
      <c r="K40" s="16" t="n"/>
      <c r="L40" s="16" t="n"/>
      <c r="M40" s="16" t="n"/>
      <c r="N40" s="16" t="n"/>
      <c r="O40" s="16" t="n"/>
      <c r="P40" s="16" t="n"/>
      <c r="Q40" s="16" t="n"/>
      <c r="R40" s="16" t="n"/>
      <c r="S40" s="16" t="n"/>
    </row>
    <row r="41">
      <c r="A41" s="16" t="n"/>
      <c r="B41" s="16" t="n"/>
      <c r="C41" s="16" t="n"/>
      <c r="D41" s="16" t="n"/>
      <c r="E41" s="16" t="n"/>
      <c r="F41" s="16" t="n"/>
      <c r="G41" s="16" t="n"/>
      <c r="H41" s="16" t="n"/>
      <c r="I41" s="16" t="n"/>
      <c r="J41" s="16" t="n"/>
      <c r="K41" s="16" t="n"/>
      <c r="L41" s="16" t="n"/>
      <c r="M41" s="16" t="n"/>
      <c r="N41" s="16" t="n"/>
      <c r="O41" s="16" t="n"/>
      <c r="P41" s="16" t="n"/>
      <c r="Q41" s="16" t="n"/>
      <c r="R41" s="16" t="n"/>
      <c r="S41" s="16" t="n"/>
    </row>
    <row r="42">
      <c r="A42" s="16" t="n"/>
      <c r="B42" s="16" t="n"/>
      <c r="C42" s="16" t="n"/>
      <c r="D42" s="16" t="n"/>
      <c r="E42" s="16" t="n"/>
      <c r="F42" s="16" t="n"/>
      <c r="G42" s="16" t="n"/>
      <c r="H42" s="16" t="n"/>
      <c r="I42" s="16" t="n"/>
      <c r="J42" s="16" t="n"/>
      <c r="K42" s="16" t="n"/>
      <c r="L42" s="16" t="n"/>
      <c r="M42" s="16" t="n"/>
      <c r="N42" s="16" t="n"/>
      <c r="O42" s="16" t="n"/>
      <c r="P42" s="16" t="n"/>
      <c r="Q42" s="16" t="n"/>
      <c r="R42" s="16" t="n"/>
      <c r="S42" s="16" t="n"/>
    </row>
    <row r="43">
      <c r="A43" s="16" t="n"/>
      <c r="B43" s="16" t="n"/>
      <c r="C43" s="16" t="n"/>
      <c r="D43" s="16" t="n"/>
      <c r="E43" s="16" t="n"/>
      <c r="F43" s="16" t="n"/>
      <c r="G43" s="16" t="n"/>
      <c r="H43" s="16" t="n"/>
      <c r="I43" s="16" t="n"/>
      <c r="J43" s="16" t="n"/>
      <c r="K43" s="16" t="n"/>
      <c r="L43" s="16" t="n"/>
      <c r="M43" s="16" t="n"/>
      <c r="N43" s="16" t="n"/>
      <c r="O43" s="16" t="n"/>
      <c r="P43" s="16" t="n"/>
      <c r="Q43" s="16" t="n"/>
      <c r="R43" s="16" t="n"/>
      <c r="S43" s="16" t="n"/>
    </row>
    <row r="44">
      <c r="A44" s="16" t="n"/>
      <c r="B44" s="16" t="n"/>
      <c r="C44" s="16" t="n"/>
      <c r="D44" s="16" t="n"/>
      <c r="E44" s="16" t="n"/>
      <c r="F44" s="16" t="n"/>
      <c r="G44" s="16" t="n"/>
      <c r="H44" s="16" t="n"/>
      <c r="I44" s="16" t="n"/>
      <c r="J44" s="16" t="n"/>
      <c r="K44" s="16" t="n"/>
      <c r="L44" s="16" t="n"/>
      <c r="M44" s="16" t="n"/>
      <c r="N44" s="16" t="n"/>
      <c r="O44" s="16" t="n"/>
      <c r="P44" s="16" t="n"/>
      <c r="Q44" s="16" t="n"/>
      <c r="R44" s="16" t="n"/>
      <c r="S44" s="16" t="n"/>
    </row>
    <row r="45">
      <c r="A45" s="16" t="n"/>
      <c r="B45" s="16" t="n"/>
      <c r="C45" s="16" t="n"/>
      <c r="D45" s="16" t="n"/>
      <c r="E45" s="16" t="n"/>
      <c r="F45" s="16" t="n"/>
      <c r="G45" s="16" t="n"/>
      <c r="H45" s="16" t="n"/>
      <c r="I45" s="16" t="n"/>
      <c r="J45" s="16" t="n"/>
      <c r="K45" s="16" t="n"/>
      <c r="L45" s="16" t="n"/>
    </row>
    <row r="46">
      <c r="A46" s="16" t="n"/>
      <c r="B46" s="16" t="n"/>
      <c r="C46" s="16" t="n"/>
      <c r="D46" s="16" t="n"/>
      <c r="E46" s="16" t="n"/>
      <c r="F46" s="16" t="n"/>
      <c r="G46" s="16" t="n"/>
      <c r="H46" s="16" t="n"/>
      <c r="I46" s="16" t="n"/>
      <c r="J46" s="16" t="n"/>
      <c r="K46" s="16" t="n"/>
      <c r="L46" s="16" t="n"/>
    </row>
    <row r="47">
      <c r="A47" s="16" t="n"/>
      <c r="B47" s="16" t="n"/>
      <c r="C47" s="16" t="n"/>
      <c r="D47" s="16" t="n"/>
      <c r="E47" s="16" t="n"/>
      <c r="F47" s="16" t="n"/>
      <c r="G47" s="16" t="n"/>
      <c r="H47" s="16" t="n"/>
      <c r="I47" s="16" t="n"/>
      <c r="J47" s="16" t="n"/>
      <c r="K47" s="16" t="n"/>
      <c r="L47" s="16" t="n"/>
    </row>
    <row r="48">
      <c r="A48" s="16" t="n"/>
      <c r="B48" s="16" t="n"/>
      <c r="C48" s="16" t="n"/>
      <c r="D48" s="16" t="n"/>
      <c r="E48" s="16" t="n"/>
      <c r="F48" s="16" t="n"/>
      <c r="G48" s="16" t="n"/>
      <c r="H48" s="16" t="n"/>
      <c r="I48" s="16" t="n"/>
      <c r="J48" s="16" t="n"/>
      <c r="K48" s="16" t="n"/>
      <c r="L48" s="16" t="n"/>
    </row>
    <row r="49">
      <c r="A49" s="16" t="n"/>
      <c r="B49" s="16" t="n"/>
      <c r="C49" s="16" t="n"/>
      <c r="D49" s="16" t="n"/>
      <c r="E49" s="16" t="n"/>
      <c r="F49" s="16" t="n"/>
      <c r="G49" s="16" t="n"/>
      <c r="H49" s="16" t="n"/>
      <c r="I49" s="16" t="n"/>
      <c r="J49" s="16" t="n"/>
      <c r="K49" s="16" t="n"/>
      <c r="L49" s="16" t="n"/>
    </row>
    <row r="50">
      <c r="A50" s="16" t="n"/>
      <c r="B50" s="16" t="n"/>
      <c r="C50" s="16" t="n"/>
      <c r="D50" s="16" t="n"/>
      <c r="E50" s="16" t="n"/>
      <c r="F50" s="16" t="n"/>
      <c r="G50" s="16" t="n"/>
      <c r="H50" s="16" t="n"/>
      <c r="I50" s="16" t="n"/>
      <c r="J50" s="16" t="n"/>
      <c r="K50" s="16" t="n"/>
      <c r="L50" s="16" t="n"/>
    </row>
    <row r="51">
      <c r="A51" s="16" t="n"/>
      <c r="B51" s="16" t="n"/>
      <c r="C51" s="16" t="n"/>
      <c r="D51" s="16" t="n"/>
      <c r="E51" s="16" t="n"/>
      <c r="F51" s="16" t="n"/>
      <c r="G51" s="16" t="n"/>
      <c r="H51" s="16" t="n"/>
      <c r="I51" s="16" t="n"/>
      <c r="J51" s="16" t="n"/>
      <c r="K51" s="16" t="n"/>
      <c r="L51" s="16" t="n"/>
    </row>
    <row r="52">
      <c r="A52" s="16" t="n"/>
      <c r="B52" s="16" t="n"/>
      <c r="C52" s="16" t="n"/>
      <c r="D52" s="16" t="n"/>
      <c r="E52" s="16" t="n"/>
      <c r="F52" s="16" t="n"/>
      <c r="G52" s="16" t="n"/>
      <c r="H52" s="16" t="n"/>
      <c r="I52" s="16" t="n"/>
      <c r="J52" s="16" t="n"/>
      <c r="K52" s="16" t="n"/>
      <c r="L52" s="16" t="n"/>
    </row>
    <row r="53">
      <c r="A53" s="16" t="n"/>
      <c r="B53" s="16" t="n"/>
      <c r="C53" s="16" t="n"/>
      <c r="D53" s="16" t="n"/>
      <c r="E53" s="16" t="n"/>
      <c r="F53" s="16" t="n"/>
      <c r="G53" s="16" t="n"/>
      <c r="H53" s="16" t="n"/>
      <c r="I53" s="16" t="n"/>
      <c r="J53" s="16" t="n"/>
      <c r="K53" s="16" t="n"/>
      <c r="L53" s="16" t="n"/>
    </row>
    <row r="54">
      <c r="A54" s="16" t="n"/>
      <c r="B54" s="16" t="n"/>
      <c r="C54" s="16" t="n"/>
      <c r="D54" s="16" t="n"/>
      <c r="E54" s="16" t="n"/>
      <c r="F54" s="16" t="n"/>
      <c r="G54" s="16" t="n"/>
      <c r="H54" s="16" t="n"/>
      <c r="I54" s="16" t="n"/>
      <c r="J54" s="16" t="n"/>
      <c r="K54" s="16" t="n"/>
      <c r="L54" s="16" t="n"/>
    </row>
    <row r="55">
      <c r="A55" s="16" t="n"/>
      <c r="B55" s="16" t="n"/>
      <c r="C55" s="16" t="n"/>
      <c r="D55" s="16" t="n"/>
      <c r="E55" s="16" t="n"/>
      <c r="F55" s="16" t="n"/>
      <c r="G55" s="16" t="n"/>
      <c r="H55" s="16" t="n"/>
      <c r="I55" s="16" t="n"/>
      <c r="J55" s="16" t="n"/>
      <c r="K55" s="16" t="n"/>
      <c r="L55" s="16" t="n"/>
    </row>
    <row r="56">
      <c r="A56" s="16" t="n"/>
      <c r="B56" s="16" t="n"/>
      <c r="C56" s="16" t="n"/>
      <c r="D56" s="16" t="n"/>
      <c r="E56" s="16" t="n"/>
      <c r="F56" s="16" t="n"/>
      <c r="G56" s="16" t="n"/>
      <c r="H56" s="16" t="n"/>
      <c r="I56" s="16" t="n"/>
      <c r="J56" s="16" t="n"/>
      <c r="K56" s="16" t="n"/>
      <c r="L56" s="16" t="n"/>
    </row>
    <row r="57">
      <c r="A57" s="16" t="n"/>
      <c r="B57" s="16" t="n"/>
      <c r="C57" s="16" t="n"/>
      <c r="D57" s="16" t="n"/>
      <c r="E57" s="16" t="n"/>
      <c r="F57" s="16" t="n"/>
      <c r="G57" s="16" t="n"/>
      <c r="H57" s="16" t="n"/>
      <c r="I57" s="16" t="n"/>
      <c r="J57" s="16" t="n"/>
      <c r="K57" s="16" t="n"/>
      <c r="L57" s="16" t="n"/>
    </row>
    <row r="58">
      <c r="A58" s="16" t="n"/>
      <c r="B58" s="16" t="n"/>
      <c r="C58" s="16" t="n"/>
      <c r="D58" s="16" t="n"/>
      <c r="E58" s="16" t="n"/>
      <c r="F58" s="16" t="n"/>
      <c r="G58" s="16" t="n"/>
      <c r="H58" s="16" t="n"/>
      <c r="I58" s="16" t="n"/>
      <c r="J58" s="16" t="n"/>
      <c r="K58" s="16" t="n"/>
      <c r="L58" s="16" t="n"/>
    </row>
    <row r="59">
      <c r="A59" s="16" t="n"/>
      <c r="B59" s="16" t="n"/>
      <c r="C59" s="16" t="n"/>
      <c r="D59" s="16" t="n"/>
      <c r="E59" s="16" t="n"/>
      <c r="F59" s="16" t="n"/>
      <c r="G59" s="16" t="n"/>
      <c r="H59" s="16" t="n"/>
      <c r="I59" s="16" t="n"/>
      <c r="J59" s="16" t="n"/>
      <c r="K59" s="16" t="n"/>
      <c r="L59" s="16" t="n"/>
    </row>
    <row r="60">
      <c r="A60" s="16" t="n"/>
      <c r="B60" s="16" t="n"/>
      <c r="C60" s="16" t="n"/>
      <c r="D60" s="16" t="n"/>
      <c r="E60" s="16" t="n"/>
      <c r="F60" s="16" t="n"/>
      <c r="G60" s="16" t="n"/>
      <c r="H60" s="16" t="n"/>
      <c r="I60" s="16" t="n"/>
      <c r="J60" s="16" t="n"/>
      <c r="K60" s="16" t="n"/>
      <c r="L60" s="16" t="n"/>
    </row>
    <row r="61">
      <c r="A61" s="16" t="n"/>
      <c r="B61" s="16" t="n"/>
      <c r="C61" s="16" t="n"/>
      <c r="D61" s="16" t="n"/>
      <c r="E61" s="16" t="n"/>
      <c r="F61" s="16" t="n"/>
      <c r="G61" s="16" t="n"/>
      <c r="H61" s="16" t="n"/>
      <c r="I61" s="16" t="n"/>
      <c r="J61" s="16" t="n"/>
      <c r="K61" s="16" t="n"/>
      <c r="L61" s="16" t="n"/>
    </row>
    <row r="62">
      <c r="A62" s="16" t="n"/>
      <c r="B62" s="16" t="n"/>
      <c r="C62" s="16" t="n"/>
      <c r="D62" s="16" t="n"/>
      <c r="E62" s="16" t="n"/>
      <c r="F62" s="16" t="n"/>
      <c r="G62" s="16" t="n"/>
      <c r="H62" s="16" t="n"/>
      <c r="I62" s="16" t="n"/>
      <c r="J62" s="16" t="n"/>
      <c r="K62" s="16" t="n"/>
      <c r="L62" s="16" t="n"/>
    </row>
    <row r="63">
      <c r="A63" s="16" t="n"/>
      <c r="B63" s="16" t="n"/>
      <c r="C63" s="16" t="n"/>
      <c r="D63" s="16" t="n"/>
      <c r="E63" s="16" t="n"/>
      <c r="F63" s="16" t="n"/>
      <c r="G63" s="16" t="n"/>
      <c r="H63" s="16" t="n"/>
      <c r="I63" s="16" t="n"/>
      <c r="J63" s="16" t="n"/>
      <c r="K63" s="16" t="n"/>
      <c r="L63" s="16" t="n"/>
    </row>
    <row r="64">
      <c r="A64" s="16" t="n"/>
      <c r="B64" s="16" t="n"/>
      <c r="C64" s="16" t="n"/>
      <c r="D64" s="16" t="n"/>
      <c r="E64" s="16" t="n"/>
      <c r="F64" s="16" t="n"/>
      <c r="G64" s="16" t="n"/>
      <c r="H64" s="16" t="n"/>
      <c r="I64" s="16" t="n"/>
      <c r="J64" s="16" t="n"/>
      <c r="K64" s="16" t="n"/>
      <c r="L64" s="16" t="n"/>
    </row>
    <row r="65">
      <c r="A65" s="16" t="n"/>
      <c r="B65" s="16" t="n"/>
      <c r="C65" s="16" t="n"/>
      <c r="D65" s="16" t="n"/>
      <c r="E65" s="16" t="n"/>
      <c r="F65" s="16" t="n"/>
      <c r="G65" s="16" t="n"/>
      <c r="H65" s="16" t="n"/>
      <c r="I65" s="16" t="n"/>
      <c r="J65" s="16" t="n"/>
      <c r="K65" s="16" t="n"/>
      <c r="L65" s="16" t="n"/>
    </row>
    <row r="66">
      <c r="A66" s="16" t="n"/>
      <c r="B66" s="16" t="n"/>
      <c r="C66" s="16" t="n"/>
      <c r="D66" s="16" t="n"/>
      <c r="E66" s="16" t="n"/>
      <c r="F66" s="16" t="n"/>
      <c r="G66" s="16" t="n"/>
      <c r="H66" s="16" t="n"/>
      <c r="I66" s="16" t="n"/>
      <c r="J66" s="16" t="n"/>
      <c r="K66" s="16" t="n"/>
      <c r="L66" s="16" t="n"/>
    </row>
    <row r="67">
      <c r="A67" s="16" t="n"/>
      <c r="B67" s="16" t="n"/>
      <c r="C67" s="16" t="n"/>
      <c r="D67" s="16" t="n"/>
      <c r="E67" s="16" t="n"/>
      <c r="F67" s="16" t="n"/>
      <c r="G67" s="16" t="n"/>
      <c r="H67" s="16" t="n"/>
      <c r="I67" s="16" t="n"/>
      <c r="J67" s="16" t="n"/>
      <c r="K67" s="16" t="n"/>
      <c r="L67" s="16" t="n"/>
    </row>
    <row r="68">
      <c r="A68" s="16" t="n"/>
      <c r="B68" s="16" t="n"/>
      <c r="C68" s="16" t="n"/>
      <c r="D68" s="16" t="n"/>
      <c r="E68" s="16" t="n"/>
      <c r="F68" s="16" t="n"/>
      <c r="G68" s="16" t="n"/>
      <c r="H68" s="16" t="n"/>
      <c r="I68" s="16" t="n"/>
      <c r="J68" s="16" t="n"/>
      <c r="K68" s="16" t="n"/>
      <c r="L68" s="16" t="n"/>
    </row>
    <row r="69">
      <c r="A69" s="16" t="n"/>
      <c r="B69" s="16" t="n"/>
      <c r="C69" s="16" t="n"/>
      <c r="D69" s="16" t="n"/>
      <c r="E69" s="16" t="n"/>
      <c r="F69" s="16" t="n"/>
      <c r="G69" s="16" t="n"/>
      <c r="H69" s="16" t="n"/>
      <c r="I69" s="16" t="n"/>
      <c r="J69" s="16" t="n"/>
      <c r="K69" s="16" t="n"/>
      <c r="L69" s="16" t="n"/>
    </row>
    <row r="70">
      <c r="A70" s="16" t="n"/>
      <c r="B70" s="16" t="n"/>
      <c r="C70" s="16" t="n"/>
      <c r="D70" s="16" t="n"/>
      <c r="E70" s="16" t="n"/>
      <c r="F70" s="16" t="n"/>
      <c r="G70" s="16" t="n"/>
      <c r="H70" s="16" t="n"/>
      <c r="I70" s="16" t="n"/>
      <c r="J70" s="16" t="n"/>
      <c r="K70" s="16" t="n"/>
      <c r="L70" s="16" t="n"/>
    </row>
    <row r="71">
      <c r="A71" s="16" t="n"/>
      <c r="B71" s="16" t="n"/>
      <c r="C71" s="16" t="n"/>
      <c r="D71" s="16" t="n"/>
      <c r="E71" s="16" t="n"/>
      <c r="F71" s="16" t="n"/>
      <c r="G71" s="16" t="n"/>
      <c r="H71" s="16" t="n"/>
      <c r="I71" s="16" t="n"/>
      <c r="J71" s="16" t="n"/>
      <c r="K71" s="16" t="n"/>
      <c r="L71" s="16" t="n"/>
    </row>
    <row r="72">
      <c r="A72" s="16" t="n"/>
      <c r="B72" s="16" t="n"/>
      <c r="C72" s="16" t="n"/>
      <c r="D72" s="16" t="n"/>
      <c r="E72" s="16" t="n"/>
      <c r="F72" s="16" t="n"/>
      <c r="G72" s="16" t="n"/>
      <c r="H72" s="16" t="n"/>
      <c r="I72" s="16" t="n"/>
      <c r="J72" s="16" t="n"/>
      <c r="K72" s="16" t="n"/>
      <c r="L72" s="16" t="n"/>
    </row>
    <row r="73">
      <c r="A73" s="16" t="n"/>
      <c r="B73" s="16" t="n"/>
      <c r="C73" s="16" t="n"/>
      <c r="D73" s="16" t="n"/>
      <c r="E73" s="16" t="n"/>
      <c r="F73" s="16" t="n"/>
      <c r="G73" s="16" t="n"/>
      <c r="H73" s="16" t="n"/>
      <c r="I73" s="16" t="n"/>
      <c r="J73" s="16" t="n"/>
      <c r="K73" s="16" t="n"/>
      <c r="L73" s="16" t="n"/>
    </row>
    <row r="74">
      <c r="A74" s="16" t="n"/>
      <c r="B74" s="16" t="n"/>
      <c r="C74" s="16" t="n"/>
      <c r="D74" s="16" t="n"/>
      <c r="E74" s="16" t="n"/>
      <c r="F74" s="16" t="n"/>
      <c r="G74" s="16" t="n"/>
      <c r="H74" s="16" t="n"/>
      <c r="I74" s="16" t="n"/>
      <c r="J74" s="16" t="n"/>
      <c r="K74" s="16" t="n"/>
      <c r="L74" s="16" t="n"/>
    </row>
    <row r="75">
      <c r="A75" s="16" t="n"/>
      <c r="B75" s="16" t="n"/>
      <c r="C75" s="16" t="n"/>
      <c r="D75" s="16" t="n"/>
      <c r="E75" s="16" t="n"/>
      <c r="F75" s="16" t="n"/>
      <c r="G75" s="16" t="n"/>
      <c r="H75" s="16" t="n"/>
      <c r="I75" s="16" t="n"/>
      <c r="J75" s="16" t="n"/>
      <c r="K75" s="16" t="n"/>
      <c r="L75" s="16" t="n"/>
    </row>
    <row r="76">
      <c r="A76" s="16" t="n"/>
      <c r="B76" s="16" t="n"/>
      <c r="C76" s="16" t="n"/>
      <c r="D76" s="16" t="n"/>
      <c r="E76" s="16" t="n"/>
      <c r="F76" s="16" t="n"/>
      <c r="G76" s="16" t="n"/>
      <c r="H76" s="16" t="n"/>
      <c r="I76" s="16" t="n"/>
      <c r="J76" s="16" t="n"/>
      <c r="K76" s="16" t="n"/>
      <c r="L76" s="16" t="n"/>
    </row>
    <row r="77">
      <c r="A77" s="16" t="n"/>
      <c r="B77" s="16" t="n"/>
      <c r="C77" s="16" t="n"/>
      <c r="D77" s="16" t="n"/>
      <c r="E77" s="16" t="n"/>
      <c r="F77" s="16" t="n"/>
      <c r="G77" s="16" t="n"/>
      <c r="H77" s="16" t="n"/>
      <c r="I77" s="16" t="n"/>
      <c r="J77" s="16" t="n"/>
      <c r="K77" s="16" t="n"/>
      <c r="L77" s="16" t="n"/>
    </row>
    <row r="78">
      <c r="A78" s="16" t="n"/>
      <c r="B78" s="16" t="n"/>
      <c r="C78" s="16" t="n"/>
      <c r="D78" s="16" t="n"/>
      <c r="E78" s="16" t="n"/>
      <c r="F78" s="16" t="n"/>
      <c r="G78" s="16" t="n"/>
      <c r="H78" s="16" t="n"/>
      <c r="I78" s="16" t="n"/>
      <c r="J78" s="16" t="n"/>
      <c r="K78" s="16" t="n"/>
      <c r="L78" s="16" t="n"/>
    </row>
    <row r="79">
      <c r="A79" s="16" t="n"/>
      <c r="B79" s="16" t="n"/>
      <c r="C79" s="16" t="n"/>
      <c r="D79" s="16" t="n"/>
      <c r="E79" s="16" t="n"/>
      <c r="F79" s="16" t="n"/>
      <c r="G79" s="16" t="n"/>
      <c r="H79" s="16" t="n"/>
      <c r="I79" s="16" t="n"/>
      <c r="J79" s="16" t="n"/>
      <c r="K79" s="16" t="n"/>
      <c r="L79" s="16" t="n"/>
    </row>
    <row r="80">
      <c r="A80" s="16" t="n"/>
      <c r="B80" s="16" t="n"/>
      <c r="C80" s="16" t="n"/>
      <c r="D80" s="16" t="n"/>
      <c r="E80" s="16" t="n"/>
      <c r="F80" s="16" t="n"/>
      <c r="G80" s="16" t="n"/>
      <c r="H80" s="16" t="n"/>
      <c r="I80" s="16" t="n"/>
      <c r="J80" s="16" t="n"/>
      <c r="K80" s="16" t="n"/>
      <c r="L80" s="16" t="n"/>
    </row>
    <row r="81">
      <c r="A81" s="16" t="n"/>
      <c r="B81" s="16" t="n"/>
      <c r="C81" s="16" t="n"/>
      <c r="D81" s="16" t="n"/>
      <c r="E81" s="16" t="n"/>
      <c r="F81" s="16" t="n"/>
      <c r="G81" s="16" t="n"/>
      <c r="H81" s="16" t="n"/>
      <c r="I81" s="16" t="n"/>
      <c r="J81" s="16" t="n"/>
      <c r="K81" s="16" t="n"/>
      <c r="L81" s="16" t="n"/>
    </row>
    <row r="82">
      <c r="A82" s="16" t="n"/>
      <c r="B82" s="16" t="n"/>
      <c r="C82" s="16" t="n"/>
      <c r="D82" s="16" t="n"/>
      <c r="E82" s="16" t="n"/>
      <c r="F82" s="16" t="n"/>
      <c r="G82" s="16" t="n"/>
      <c r="H82" s="16" t="n"/>
      <c r="I82" s="16" t="n"/>
      <c r="J82" s="16" t="n"/>
      <c r="K82" s="16" t="n"/>
      <c r="L82" s="16" t="n"/>
    </row>
    <row r="83">
      <c r="A83" s="16" t="n"/>
      <c r="B83" s="16" t="n"/>
      <c r="C83" s="16" t="n"/>
      <c r="D83" s="16" t="n"/>
      <c r="E83" s="16" t="n"/>
      <c r="F83" s="16" t="n"/>
      <c r="G83" s="16" t="n"/>
      <c r="H83" s="16" t="n"/>
      <c r="I83" s="16" t="n"/>
      <c r="J83" s="16" t="n"/>
      <c r="K83" s="16" t="n"/>
      <c r="L83" s="16" t="n"/>
    </row>
    <row r="84">
      <c r="A84" s="16" t="n"/>
      <c r="B84" s="16" t="n"/>
      <c r="C84" s="16" t="n"/>
      <c r="D84" s="16" t="n"/>
      <c r="E84" s="16" t="n"/>
      <c r="F84" s="16" t="n"/>
      <c r="G84" s="16" t="n"/>
      <c r="H84" s="16" t="n"/>
      <c r="I84" s="16" t="n"/>
      <c r="J84" s="16" t="n"/>
      <c r="K84" s="16" t="n"/>
      <c r="L84" s="16" t="n"/>
    </row>
    <row r="85">
      <c r="A85" s="16" t="n"/>
      <c r="B85" s="16" t="n"/>
      <c r="C85" s="16" t="n"/>
      <c r="D85" s="16" t="n"/>
      <c r="E85" s="16" t="n"/>
      <c r="F85" s="16" t="n"/>
      <c r="G85" s="16" t="n"/>
      <c r="H85" s="16" t="n"/>
      <c r="I85" s="16" t="n"/>
      <c r="J85" s="16" t="n"/>
      <c r="K85" s="16" t="n"/>
      <c r="L85" s="16" t="n"/>
    </row>
    <row r="86">
      <c r="A86" s="16" t="n"/>
      <c r="B86" s="16" t="n"/>
      <c r="C86" s="16" t="n"/>
      <c r="D86" s="16" t="n"/>
      <c r="E86" s="16" t="n"/>
      <c r="F86" s="16" t="n"/>
      <c r="G86" s="16" t="n"/>
      <c r="H86" s="16" t="n"/>
      <c r="I86" s="16" t="n"/>
      <c r="J86" s="16" t="n"/>
      <c r="K86" s="16" t="n"/>
      <c r="L86" s="16" t="n"/>
    </row>
    <row r="87">
      <c r="A87" s="16" t="n"/>
      <c r="B87" s="16" t="n"/>
      <c r="C87" s="16" t="n"/>
      <c r="D87" s="16" t="n"/>
      <c r="E87" s="16" t="n"/>
      <c r="F87" s="16" t="n"/>
      <c r="G87" s="16" t="n"/>
      <c r="H87" s="16" t="n"/>
      <c r="I87" s="16" t="n"/>
      <c r="J87" s="16" t="n"/>
      <c r="K87" s="16" t="n"/>
      <c r="L87" s="16" t="n"/>
    </row>
    <row r="88">
      <c r="A88" s="16" t="n"/>
      <c r="B88" s="16" t="n"/>
      <c r="C88" s="16" t="n"/>
      <c r="D88" s="16" t="n"/>
      <c r="E88" s="16" t="n"/>
      <c r="F88" s="16" t="n"/>
      <c r="G88" s="16" t="n"/>
      <c r="H88" s="16" t="n"/>
      <c r="I88" s="16" t="n"/>
      <c r="J88" s="16" t="n"/>
      <c r="K88" s="16" t="n"/>
      <c r="L88" s="16" t="n"/>
    </row>
    <row r="89">
      <c r="A89" s="16" t="n"/>
      <c r="B89" s="16" t="n"/>
      <c r="C89" s="16" t="n"/>
      <c r="D89" s="16" t="n"/>
      <c r="E89" s="16" t="n"/>
      <c r="F89" s="16" t="n"/>
      <c r="G89" s="16" t="n"/>
      <c r="H89" s="16" t="n"/>
      <c r="I89" s="16" t="n"/>
      <c r="J89" s="16" t="n"/>
      <c r="K89" s="16" t="n"/>
      <c r="L89" s="16" t="n"/>
    </row>
    <row r="90">
      <c r="A90" s="16" t="n"/>
      <c r="B90" s="16" t="n"/>
      <c r="C90" s="16" t="n"/>
      <c r="D90" s="16" t="n"/>
      <c r="E90" s="16" t="n"/>
      <c r="F90" s="16" t="n"/>
      <c r="G90" s="16" t="n"/>
      <c r="H90" s="16" t="n"/>
      <c r="I90" s="16" t="n"/>
      <c r="J90" s="16" t="n"/>
      <c r="K90" s="16" t="n"/>
      <c r="L90" s="16" t="n"/>
    </row>
    <row r="91">
      <c r="A91" s="16" t="n"/>
      <c r="B91" s="16" t="n"/>
      <c r="C91" s="16" t="n"/>
      <c r="D91" s="16" t="n"/>
      <c r="E91" s="16" t="n"/>
      <c r="F91" s="16" t="n"/>
      <c r="G91" s="16" t="n"/>
      <c r="H91" s="16" t="n"/>
      <c r="I91" s="16" t="n"/>
      <c r="J91" s="16" t="n"/>
      <c r="K91" s="16" t="n"/>
      <c r="L91" s="16" t="n"/>
    </row>
    <row r="92">
      <c r="A92" s="16" t="n"/>
      <c r="B92" s="16" t="n"/>
      <c r="C92" s="16" t="n"/>
      <c r="D92" s="16" t="n"/>
      <c r="E92" s="16" t="n"/>
      <c r="F92" s="16" t="n"/>
      <c r="G92" s="16" t="n"/>
      <c r="H92" s="16" t="n"/>
      <c r="I92" s="16" t="n"/>
      <c r="J92" s="16" t="n"/>
      <c r="K92" s="16" t="n"/>
      <c r="L92" s="16" t="n"/>
    </row>
    <row r="93">
      <c r="A93" s="16" t="n"/>
      <c r="B93" s="16" t="n"/>
      <c r="C93" s="16" t="n"/>
      <c r="D93" s="16" t="n"/>
      <c r="E93" s="16" t="n"/>
      <c r="F93" s="16" t="n"/>
      <c r="G93" s="16" t="n"/>
      <c r="H93" s="16" t="n"/>
      <c r="I93" s="16" t="n"/>
      <c r="J93" s="16" t="n"/>
      <c r="K93" s="16" t="n"/>
      <c r="L93" s="16" t="n"/>
    </row>
    <row r="94">
      <c r="A94" s="16" t="n"/>
      <c r="B94" s="16" t="n"/>
      <c r="C94" s="16" t="n"/>
      <c r="D94" s="16" t="n"/>
      <c r="E94" s="16" t="n"/>
      <c r="F94" s="16" t="n"/>
      <c r="G94" s="16" t="n"/>
      <c r="H94" s="16" t="n"/>
      <c r="I94" s="16" t="n"/>
      <c r="J94" s="16" t="n"/>
      <c r="K94" s="16" t="n"/>
      <c r="L94" s="16" t="n"/>
    </row>
    <row r="95">
      <c r="A95" s="16" t="n"/>
      <c r="B95" s="16" t="n"/>
      <c r="C95" s="16" t="n"/>
      <c r="D95" s="16" t="n"/>
      <c r="E95" s="16" t="n"/>
      <c r="F95" s="16" t="n"/>
      <c r="G95" s="16" t="n"/>
      <c r="H95" s="16" t="n"/>
      <c r="I95" s="16" t="n"/>
      <c r="J95" s="16" t="n"/>
      <c r="K95" s="16" t="n"/>
      <c r="L95" s="16" t="n"/>
    </row>
    <row r="96">
      <c r="A96" s="16" t="n"/>
      <c r="B96" s="16" t="n"/>
      <c r="C96" s="16" t="n"/>
      <c r="D96" s="16" t="n"/>
      <c r="E96" s="16" t="n"/>
      <c r="F96" s="16" t="n"/>
      <c r="G96" s="16" t="n"/>
      <c r="H96" s="16" t="n"/>
      <c r="I96" s="16" t="n"/>
      <c r="J96" s="16" t="n"/>
      <c r="K96" s="16" t="n"/>
      <c r="L96" s="16" t="n"/>
    </row>
    <row r="97">
      <c r="A97" s="16" t="n"/>
      <c r="B97" s="16" t="n"/>
      <c r="C97" s="16" t="n"/>
      <c r="D97" s="16" t="n"/>
      <c r="E97" s="16" t="n"/>
      <c r="F97" s="16" t="n"/>
      <c r="G97" s="16" t="n"/>
      <c r="H97" s="16" t="n"/>
      <c r="I97" s="16" t="n"/>
      <c r="J97" s="16" t="n"/>
      <c r="K97" s="16" t="n"/>
      <c r="L97" s="16" t="n"/>
    </row>
    <row r="98">
      <c r="A98" s="16" t="n"/>
      <c r="B98" s="16" t="n"/>
      <c r="C98" s="16" t="n"/>
      <c r="D98" s="16" t="n"/>
      <c r="E98" s="16" t="n"/>
      <c r="F98" s="16" t="n"/>
      <c r="G98" s="16" t="n"/>
      <c r="H98" s="16" t="n"/>
      <c r="I98" s="16" t="n"/>
      <c r="J98" s="16" t="n"/>
      <c r="K98" s="16" t="n"/>
      <c r="L98" s="16" t="n"/>
    </row>
    <row r="99">
      <c r="A99" s="16" t="n"/>
      <c r="B99" s="16" t="n"/>
      <c r="C99" s="16" t="n"/>
      <c r="D99" s="16" t="n"/>
      <c r="E99" s="16" t="n"/>
      <c r="F99" s="16" t="n"/>
      <c r="G99" s="16" t="n"/>
      <c r="H99" s="16" t="n"/>
      <c r="I99" s="16" t="n"/>
      <c r="J99" s="16" t="n"/>
      <c r="K99" s="16" t="n"/>
      <c r="L99" s="16" t="n"/>
    </row>
    <row r="100">
      <c r="A100" s="16" t="n"/>
      <c r="B100" s="16" t="n"/>
      <c r="C100" s="16" t="n"/>
      <c r="D100" s="16" t="n"/>
      <c r="E100" s="16" t="n"/>
      <c r="F100" s="16" t="n"/>
      <c r="G100" s="16" t="n"/>
      <c r="H100" s="16" t="n"/>
      <c r="I100" s="16" t="n"/>
      <c r="J100" s="16" t="n"/>
      <c r="K100" s="16" t="n"/>
      <c r="L100" s="16" t="n"/>
    </row>
  </sheetData>
  <mergeCells count="16">
    <mergeCell ref="B6:C6"/>
    <mergeCell ref="H11:I11"/>
    <mergeCell ref="E6:F6"/>
    <mergeCell ref="H6:I6"/>
    <mergeCell ref="B7:C7"/>
    <mergeCell ref="B11:C11"/>
    <mergeCell ref="E7:F7"/>
    <mergeCell ref="E10:F10"/>
    <mergeCell ref="H7:I7"/>
    <mergeCell ref="H10:I10"/>
    <mergeCell ref="B15:C15"/>
    <mergeCell ref="B10:C10"/>
    <mergeCell ref="E11:F11"/>
    <mergeCell ref="E15:F15"/>
    <mergeCell ref="B14:C14"/>
    <mergeCell ref="E14:F14"/>
  </mergeCells>
  <pageMargins left="0.75" right="0.75" top="1" bottom="1" header="0.511811023622047" footer="0.511811023622047"/>
  <pageSetup orientation="portrait" paperSize="9" horizontalDpi="300" verticalDpi="300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:language xmlns:dc="http://purl.org/dc/elements/1.1/">en-US</dc:language>
  <dcterms:created xmlns:dcterms="http://purl.org/dc/terms/" xmlns:xsi="http://www.w3.org/2001/XMLSchema-instance" xsi:type="dcterms:W3CDTF">2026-08-20T11:59:34Z</dcterms:created>
  <dcterms:modified xmlns:dcterms="http://purl.org/dc/terms/" xmlns:xsi="http://www.w3.org/2001/XMLSchema-instance" xsi:type="dcterms:W3CDTF">2026-08-20T18:18:01Z</dcterms:modified>
  <cp:lastModifiedBy>Fidel San Sebastian</cp:lastModifiedBy>
  <cp:revision>0</cp:revision>
</cp:coreProperties>
</file>